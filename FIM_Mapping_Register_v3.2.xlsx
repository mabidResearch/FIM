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pha\Downloads\"/>
    </mc:Choice>
  </mc:AlternateContent>
  <xr:revisionPtr revIDLastSave="0" documentId="13_ncr:1_{98B1E86B-50C6-4E3E-B45F-9F1923ED5A46}" xr6:coauthVersionLast="47" xr6:coauthVersionMax="47" xr10:uidLastSave="{00000000-0000-0000-0000-000000000000}"/>
  <bookViews>
    <workbookView xWindow="3330" yWindow="4080" windowWidth="52330" windowHeight="15710" tabRatio="500" xr2:uid="{00000000-000D-0000-FFFF-FFFF00000000}"/>
  </bookViews>
  <sheets>
    <sheet name="README" sheetId="1" r:id="rId1"/>
    <sheet name="Full Register" sheetId="2" r:id="rId2"/>
    <sheet name="Matrix" sheetId="3" r:id="rId3"/>
    <sheet name="Coverage" sheetId="4" r:id="rId4"/>
    <sheet name="SCF Detail" sheetId="5" r:id="rId5"/>
    <sheet name="SCF Benchmark" sheetId="6" r:id="rId6"/>
    <sheet name="Sources" sheetId="8" r:id="rId7"/>
  </sheets>
  <definedNames>
    <definedName name="_xlnm._FilterDatabase" localSheetId="1" hidden="1">'Full Register'!$A$5:$J$47</definedName>
    <definedName name="_xlnm._FilterDatabase" localSheetId="4" hidden="1">'SCF Detail'!$A$5:$M$47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6" l="1"/>
  <c r="H11" i="6"/>
  <c r="G11" i="6"/>
  <c r="F11" i="6"/>
  <c r="E11" i="6"/>
  <c r="D11" i="6"/>
  <c r="C11" i="6"/>
  <c r="I10" i="6"/>
  <c r="H10" i="6"/>
  <c r="G10" i="6"/>
  <c r="F10" i="6"/>
  <c r="E10" i="6"/>
  <c r="D10" i="6"/>
  <c r="C10" i="6"/>
  <c r="I9" i="6"/>
  <c r="H9" i="6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G7" i="6"/>
  <c r="F7" i="6"/>
  <c r="E7" i="6"/>
  <c r="D7" i="6"/>
  <c r="C7" i="6"/>
  <c r="I6" i="6"/>
  <c r="I13" i="6" s="1"/>
  <c r="H6" i="6"/>
  <c r="H13" i="6" s="1"/>
  <c r="G6" i="6"/>
  <c r="G13" i="6" s="1"/>
  <c r="F6" i="6"/>
  <c r="F13" i="6" s="1"/>
  <c r="E6" i="6"/>
  <c r="E13" i="6" s="1"/>
  <c r="E17" i="6" s="1"/>
  <c r="D6" i="6"/>
  <c r="D13" i="6" s="1"/>
  <c r="C17" i="6" s="1"/>
  <c r="C6" i="6"/>
  <c r="C13" i="6" s="1"/>
  <c r="A17" i="6" s="1"/>
  <c r="D21" i="4"/>
  <c r="E21" i="4" s="1"/>
  <c r="F21" i="4" s="1"/>
  <c r="C21" i="4"/>
  <c r="B21" i="4"/>
  <c r="B20" i="4"/>
  <c r="D20" i="4" s="1"/>
  <c r="E20" i="4" s="1"/>
  <c r="B19" i="4"/>
  <c r="D19" i="4" s="1"/>
  <c r="E19" i="4" s="1"/>
  <c r="B18" i="4"/>
  <c r="D18" i="4" s="1"/>
  <c r="E18" i="4" s="1"/>
  <c r="B17" i="4"/>
  <c r="D17" i="4" s="1"/>
  <c r="E17" i="4" s="1"/>
  <c r="B16" i="4"/>
  <c r="D16" i="4" s="1"/>
  <c r="E16" i="4" s="1"/>
  <c r="I15" i="4"/>
  <c r="B15" i="4"/>
  <c r="D15" i="4" s="1"/>
  <c r="E15" i="4" s="1"/>
  <c r="I14" i="4"/>
  <c r="B11" i="4"/>
  <c r="D11" i="4" s="1"/>
  <c r="E11" i="4" s="1"/>
  <c r="I10" i="4"/>
  <c r="B10" i="4"/>
  <c r="D10" i="4" s="1"/>
  <c r="E10" i="4" s="1"/>
  <c r="I9" i="4"/>
  <c r="B9" i="4"/>
  <c r="D9" i="4" s="1"/>
  <c r="E9" i="4" s="1"/>
  <c r="I8" i="4"/>
  <c r="D8" i="4"/>
  <c r="E8" i="4" s="1"/>
  <c r="B8" i="4"/>
  <c r="C8" i="4" s="1"/>
  <c r="I7" i="4"/>
  <c r="B7" i="4"/>
  <c r="D7" i="4" s="1"/>
  <c r="E7" i="4" s="1"/>
  <c r="I6" i="4"/>
  <c r="B6" i="4"/>
  <c r="D6" i="4" s="1"/>
  <c r="E6" i="4" s="1"/>
  <c r="F8" i="4" l="1"/>
  <c r="H17" i="6"/>
  <c r="C10" i="4"/>
  <c r="F10" i="4" s="1"/>
  <c r="C19" i="4"/>
  <c r="F19" i="4" s="1"/>
  <c r="C15" i="4"/>
  <c r="F15" i="4" s="1"/>
  <c r="C11" i="4"/>
  <c r="F11" i="4" s="1"/>
  <c r="C20" i="4"/>
  <c r="F20" i="4" s="1"/>
  <c r="C17" i="4"/>
  <c r="F17" i="4" s="1"/>
  <c r="C6" i="4"/>
  <c r="F6" i="4" s="1"/>
  <c r="C7" i="4"/>
  <c r="F7" i="4" s="1"/>
  <c r="C16" i="4"/>
  <c r="F16" i="4" s="1"/>
  <c r="C9" i="4"/>
  <c r="F9" i="4" s="1"/>
  <c r="C18" i="4"/>
  <c r="F18" i="4" s="1"/>
</calcChain>
</file>

<file path=xl/sharedStrings.xml><?xml version="1.0" encoding="utf-8"?>
<sst xmlns="http://schemas.openxmlformats.org/spreadsheetml/2006/main" count="1272" uniqueCount="444">
  <si>
    <t>RQ2 Framework Integration Mapping Register, v3.2</t>
  </si>
  <si>
    <t>Chapter 5 / Appendix A supporting artefact | Public GitHub version | 3 September 2026</t>
  </si>
  <si>
    <t>Workbook summary</t>
  </si>
  <si>
    <t>Purpose and use</t>
  </si>
  <si>
    <t>Frameworks</t>
  </si>
  <si>
    <t>Purpose</t>
  </si>
  <si>
    <t>Records the 42 relationship-aware mappings used for RQ2 and the subsequent SCF 2026.2 documentary benchmark.</t>
  </si>
  <si>
    <t>IR pivots</t>
  </si>
  <si>
    <t>Primary artefact</t>
  </si>
  <si>
    <t>The FIM mapping remains the researcher-developed six-framework × seven-pivot register.</t>
  </si>
  <si>
    <t>Primary mapping cells</t>
  </si>
  <si>
    <t>SCF role</t>
  </si>
  <si>
    <t>SCF is used as an external documentary comparator. It is not treated as a second coder or empirical validation.</t>
  </si>
  <si>
    <t>SCF-comparable cells</t>
  </si>
  <si>
    <t>Version history</t>
  </si>
  <si>
    <t>v3.1 represents the pre-benchmark register. v3.2 preserves all original classifications except one conservative recoding following primary-source review triggered by the SCF comparison.</t>
  </si>
  <si>
    <t>SCF benchmark outcome</t>
  </si>
  <si>
    <t>21 V1; 6 V2; 1 V3; 0 V4; 14 V0</t>
  </si>
  <si>
    <t>Public-use note</t>
  </si>
  <si>
    <t>Framework and standards content is paraphrased where required. Source identifiers and official locations are provided for research traceability. Third-party standards and framework content remain subject to the rights of their respective owners.</t>
  </si>
  <si>
    <t>Post-benchmark changes</t>
  </si>
  <si>
    <t>1 cell (Essential Eight Preparation: R2 to R3)</t>
  </si>
  <si>
    <t>Where to start</t>
  </si>
  <si>
    <t>Use Matrix for the overview, Full Register for the source-level record, and SCF Benchmark/SCF Detail for the external comparison.</t>
  </si>
  <si>
    <t>FIM relationship classes</t>
  </si>
  <si>
    <t>SCF benchmark outcomes</t>
  </si>
  <si>
    <t>Code</t>
  </si>
  <si>
    <t>Meaning</t>
  </si>
  <si>
    <t>Working test</t>
  </si>
  <si>
    <t>Coverage</t>
  </si>
  <si>
    <t>Interpretation</t>
  </si>
  <si>
    <t>R1</t>
  </si>
  <si>
    <t>Direct</t>
  </si>
  <si>
    <t>Source directly addresses substantially the same IR capability or outcome.</t>
  </si>
  <si>
    <t>Equivalent + inclusive</t>
  </si>
  <si>
    <t>V1</t>
  </si>
  <si>
    <t>Corroborated</t>
  </si>
  <si>
    <t>Comparable SCF evidence supports the FIM interpretation.</t>
  </si>
  <si>
    <t>R2</t>
  </si>
  <si>
    <t>Functionally equivalent</t>
  </si>
  <si>
    <t>Different structure or terminology, but materially the same operational function.</t>
  </si>
  <si>
    <t>V2</t>
  </si>
  <si>
    <t>Partially corroborated</t>
  </si>
  <si>
    <t>General relationship is supported, with a scope/granularity difference.</t>
  </si>
  <si>
    <t>R3</t>
  </si>
  <si>
    <t>Partial</t>
  </si>
  <si>
    <t>Meaningful overlap, but narrower/different scope, actors or lifecycle position.</t>
  </si>
  <si>
    <t>Inclusive only</t>
  </si>
  <si>
    <t>V3</t>
  </si>
  <si>
    <t>Divergent</t>
  </si>
  <si>
    <t>Material difference; primary-source review required.</t>
  </si>
  <si>
    <t>R4</t>
  </si>
  <si>
    <t>Supporting / indirect</t>
  </si>
  <si>
    <t>Enables or strengthens the capability but does not itself implement it.</t>
  </si>
  <si>
    <t>Not substantive</t>
  </si>
  <si>
    <t>V4</t>
  </si>
  <si>
    <t>Contextual support</t>
  </si>
  <si>
    <t>Relevant external context, but not an exact comparison.</t>
  </si>
  <si>
    <t>R0</t>
  </si>
  <si>
    <t>No match</t>
  </si>
  <si>
    <t>No defensible substantive or supporting relationship in the defined scope.</t>
  </si>
  <si>
    <t>V0</t>
  </si>
  <si>
    <t>No comparator</t>
  </si>
  <si>
    <t>No sufficiently comparable SCF mapping for this instrument/version.</t>
  </si>
  <si>
    <t>Seven operational pivot elements</t>
  </si>
  <si>
    <t>Pivot</t>
  </si>
  <si>
    <t>Scope</t>
  </si>
  <si>
    <t>Matrix</t>
  </si>
  <si>
    <t>42-cell overview</t>
  </si>
  <si>
    <t>P</t>
  </si>
  <si>
    <t>Preparation</t>
  </si>
  <si>
    <t>Planning, roles, training and readiness before an incident.</t>
  </si>
  <si>
    <t>Full Register</t>
  </si>
  <si>
    <t>Source-level mapping record</t>
  </si>
  <si>
    <t>D</t>
  </si>
  <si>
    <t>Detection and Analysis</t>
  </si>
  <si>
    <t>Monitoring, triage, validation and incident analysis.</t>
  </si>
  <si>
    <t>Descriptive coverage summaries</t>
  </si>
  <si>
    <t>C</t>
  </si>
  <si>
    <t>Containment</t>
  </si>
  <si>
    <t>Actions that limit the scope and impact of an active incident.</t>
  </si>
  <si>
    <t>SCF Benchmark</t>
  </si>
  <si>
    <t>External benchmark summary</t>
  </si>
  <si>
    <t>E</t>
  </si>
  <si>
    <t>Eradication</t>
  </si>
  <si>
    <t>Removal of incident-specific artefacts and root causes.</t>
  </si>
  <si>
    <t>SCF Detail</t>
  </si>
  <si>
    <t>Cell-level benchmark record</t>
  </si>
  <si>
    <t>R</t>
  </si>
  <si>
    <t>Recovery</t>
  </si>
  <si>
    <t>Restoration to a trusted operational state, with verification.</t>
  </si>
  <si>
    <t>Change Log</t>
  </si>
  <si>
    <t>Version and review history</t>
  </si>
  <si>
    <t>L</t>
  </si>
  <si>
    <t>Post-Incident Review and Learning</t>
  </si>
  <si>
    <t>Structured review and feedback into plans, procedures and controls.</t>
  </si>
  <si>
    <t>Sources</t>
  </si>
  <si>
    <t>Editions and official source locations</t>
  </si>
  <si>
    <t>K</t>
  </si>
  <si>
    <t>Communication</t>
  </si>
  <si>
    <t>Internal, stakeholder and regulatory communication/reporting.</t>
  </si>
  <si>
    <t>Evidence boundary: this workbook documents researcher-led framework correspondence and an external documentary comparison. Coverage percentages describe the coding in this register; they are not measures of framework quality, organisational effectiveness, or empirical validity.</t>
  </si>
  <si>
    <t>Copyright © 2026 Muntathar Abid. All rights reserved. Public availability is provided for academic review, citation and reproducibility; reuse or redistribution of the researcher-developed artefact requires permission.</t>
  </si>
  <si>
    <t>Full 42-Cell Framework Integration Register</t>
  </si>
  <si>
    <t>Public register of the final v3.2 FIM classes. Source wording is paraphrased and linked to official publications.</t>
  </si>
  <si>
    <t>Framework</t>
  </si>
  <si>
    <t>Relationship</t>
  </si>
  <si>
    <t>Source evidence</t>
  </si>
  <si>
    <t>Rationale</t>
  </si>
  <si>
    <t>Notes / ambiguity</t>
  </si>
  <si>
    <t>Equivalent scope?</t>
  </si>
  <si>
    <t>Inclusive substantive?</t>
  </si>
  <si>
    <t>Edition</t>
  </si>
  <si>
    <t>Official source</t>
  </si>
  <si>
    <t>NIST CSF 2.0</t>
  </si>
  <si>
    <t>GV.RR-02; PR.AT-02</t>
  </si>
  <si>
    <t>NIST directly addresses preparation through roles, training and planning outcomes; SP 800-61 Rev. 3 places these within incident response.</t>
  </si>
  <si>
    <t>Preparation is distributed across CSF functions rather than expressed as one response phase.</t>
  </si>
  <si>
    <t>Yes</t>
  </si>
  <si>
    <t>Version 2.0 (NIST CSWP 29, February 2024); companion NIST SP 800-61 Rev. 3 (2025)</t>
  </si>
  <si>
    <t>https://www.nist.gov/publications/nist-cybersecurity-framework-csf-20</t>
  </si>
  <si>
    <t>DE.CM; DE.AE; RS.MA-02; RS.MA-03; RS.AN-03; RS.AN-07; RS.AN-08</t>
  </si>
  <si>
    <t>Continuous monitoring, triage and incident analysis are stated directly as detection and response outcomes.</t>
  </si>
  <si>
    <t>Companion SP 800-61 Rev. 3 supports the incident-response interpretation.</t>
  </si>
  <si>
    <t>RS.MI-01</t>
  </si>
  <si>
    <t>The incident mitigation outcome directly addresses containment.</t>
  </si>
  <si>
    <t>Companion SP 800-61 Rev. 3 places the activity within response.</t>
  </si>
  <si>
    <t>RS.MI-02</t>
  </si>
  <si>
    <t>The incident mitigation outcome directly addresses eradication.</t>
  </si>
  <si>
    <t>RC.RP-01 to RC.RP-06</t>
  </si>
  <si>
    <t>The recovery outcomes directly cover execution of recovery and restoration activities.</t>
  </si>
  <si>
    <t>Companion SP 800-61 Rev. 3 supports the lifecycle interpretation.</t>
  </si>
  <si>
    <t>ID.IM-01 to ID.IM-04 (Improvement category)</t>
  </si>
  <si>
    <t>NIST performs the learning function through continuous improvement rather than a discrete final review phase.</t>
  </si>
  <si>
    <t>Functionally equivalent, but structurally positioned differently from a traditional post-incident review phase.</t>
  </si>
  <si>
    <t>RS.CO-02; RS.CO-03; RC.CO-03; RC.CO-04</t>
  </si>
  <si>
    <t>Response and recovery communication outcomes directly require incident-related reporting and communication.</t>
  </si>
  <si>
    <t>ISO/IEC 27035</t>
  </si>
  <si>
    <t>Plan and prepare phase (Clause 5.2)</t>
  </si>
  <si>
    <t>The standard directly defines planning and preparation as a distinct incident-management phase.</t>
  </si>
  <si>
    <t>Direct phase-level correspondence.</t>
  </si>
  <si>
    <t>ISO/IEC 27035-1:2023, Edition 2 (February 2023)</t>
  </si>
  <si>
    <t>https://www.iso.org/standard/78973.html</t>
  </si>
  <si>
    <t>Detect and report + assess and decide phases (Clauses 5.3 and 5.4)</t>
  </si>
  <si>
    <t>ISO splits this pivot across two phases; taken together they perform the same detection, assessment and decision function.</t>
  </si>
  <si>
    <t>Composite mapping, so R2 is more conservative than treating either phase alone as a direct match.</t>
  </si>
  <si>
    <t>Respond phase (Clause 5.5)</t>
  </si>
  <si>
    <t>Containment is included within the broader Respond phase but is not separated as its own phase.</t>
  </si>
  <si>
    <t>Meaningful overlap, but the broader phase prevents a direct or equivalent-scope classification.</t>
  </si>
  <si>
    <t>No</t>
  </si>
  <si>
    <t>Eradication is included within the broader Respond phase but is not separated as its own phase.</t>
  </si>
  <si>
    <t>Conservatively treated as partial rather than inferring a stand-alone eradication process.</t>
  </si>
  <si>
    <t>Recovery is included within the broader Respond phase but is not separated as its own phase.</t>
  </si>
  <si>
    <t>Conservatively treated as partial rather than inferring a stand-alone recovery process.</t>
  </si>
  <si>
    <t>Learn lessons phase (Clause 5.6)</t>
  </si>
  <si>
    <t>The standard directly defines a lessons-learned phase after response.</t>
  </si>
  <si>
    <t>Direct correspondence.</t>
  </si>
  <si>
    <t>Reporting activity within the detect and report phase (Clause 5.3)</t>
  </si>
  <si>
    <t>Reporting is explicitly separated from assessment in the incident-management process, directly supporting the communication pivot.</t>
  </si>
  <si>
    <t>Phase-level anchor; the register records the reporting activity at phase level rather than at sub-clause level.</t>
  </si>
  <si>
    <t>MITRE ATT&amp;CK</t>
  </si>
  <si>
    <t>No object-level anchor; threat-informed planning and adversary emulation as enabling uses</t>
  </si>
  <si>
    <t>ATT&amp;CK can inform planning and adversary emulation, but it does not define an organisational preparation process.</t>
  </si>
  <si>
    <t>Operational use does not by itself make ATT&amp;CK a preparation framework.</t>
  </si>
  <si>
    <t>Enterprise ATT&amp;CK, register snapshot v19.2</t>
  </si>
  <si>
    <t>https://attack.mitre.org/resources/working-with-attack/</t>
  </si>
  <si>
    <t>Detection Strategies and Analytics objects; technique-level detection content</t>
  </si>
  <si>
    <t>ATT&amp;CK provides a strong detection vocabulary and detection analytics, but it is technique-centric rather than a full operational detection process.</t>
  </si>
  <si>
    <t>Functionally supports the detection-and-analysis outcome despite different structure.</t>
  </si>
  <si>
    <t>Mitigation objects restricting adversary progression (register anchors M1030, M1048)</t>
  </si>
  <si>
    <t>Some mitigations restrict adversary progression, which overlaps containment, but they are technical controls rather than an organisational containment process.</t>
  </si>
  <si>
    <t>Preventive versus active-response boundary is ambiguous.</t>
  </si>
  <si>
    <t>Removal-oriented mitigation objects (register anchors M1049, M1042)</t>
  </si>
  <si>
    <t>Removal-oriented mitigations overlap eradication but do not define an incident-specific eradication process.</t>
  </si>
  <si>
    <t>Partial operational overlap only.</t>
  </si>
  <si>
    <t>None</t>
  </si>
  <si>
    <t>ATT&amp;CK does not prescribe a recovery process.</t>
  </si>
  <si>
    <t>The absence is consistent with ATT&amp;CK's scope as an adversary-behaviour knowledge base.</t>
  </si>
  <si>
    <t>ATT&amp;CK does not prescribe a post-incident review or organisational learning process.</t>
  </si>
  <si>
    <t>The absence is consistent with its published scope.</t>
  </si>
  <si>
    <t>No object-level anchor; shared behavioural vocabulary (tactics and techniques)</t>
  </si>
  <si>
    <t>ATT&amp;CK supports technical communication through a shared vocabulary, but not stakeholder or regulatory incident communication.</t>
  </si>
  <si>
    <t>Supporting relationship only.</t>
  </si>
  <si>
    <t>COBIT 2019</t>
  </si>
  <si>
    <t>DSS02.01; DSS04; APO12; APO13 (composite)</t>
  </si>
  <si>
    <t>Preparation emerges from several governance and management practices rather than one dedicated incident-preparation practice.</t>
  </si>
  <si>
    <t>The collective function is equivalent, but the structure is distributed.</t>
  </si>
  <si>
    <t>COBIT 2019 Framework: Governance and Management Objectives</t>
  </si>
  <si>
    <t>https://www.isaca.org/resources/cobit</t>
  </si>
  <si>
    <t>DSS02.02; DSS02.04; DSS05.07</t>
  </si>
  <si>
    <t>Incident recording, classification, investigation, diagnosis and security-event monitoring directly perform detection and analysis.</t>
  </si>
  <si>
    <t>Direct practice-level relationship.</t>
  </si>
  <si>
    <t>DSS02.05; DSS04.03</t>
  </si>
  <si>
    <t>Incident resolution and continuity practices can restrict harm, but COBIT does not model containment as a distinct cyber-incident activity.</t>
  </si>
  <si>
    <t>Generic service-management overlap rather than direct containment.</t>
  </si>
  <si>
    <t>DSS03; DSS02.05</t>
  </si>
  <si>
    <t>Problem-management root-cause removal overlaps eradication, but it is not specifically an incident-scoped cyber eradication process.</t>
  </si>
  <si>
    <t>Partial relationship.</t>
  </si>
  <si>
    <t>DSS04 continuity response and resumption practices</t>
  </si>
  <si>
    <t>Continuity response and resumption practices directly perform the recovery function.</t>
  </si>
  <si>
    <t>Practice-family anchor; the register records the relationship at practice-family level rather than at individual practice level.</t>
  </si>
  <si>
    <t>DSS04.08 (post-resumption review); DSS03 (problem management)</t>
  </si>
  <si>
    <t>Learning is distributed across post-resumption review and problem management rather than one discrete post-incident review phase.</t>
  </si>
  <si>
    <t>Functionally equivalent at the combined level.</t>
  </si>
  <si>
    <t>Escalation and reporting practices across DSS02 and DSS04</t>
  </si>
  <si>
    <t>COBIT materially performs incident escalation and reporting, but communication is distributed across practices rather than a discrete phase.</t>
  </si>
  <si>
    <t>R2 retained; R3 was considered in the thesis. Practice-family anchor; the register records the relationship at practice-family level rather than at individual practice level.</t>
  </si>
  <si>
    <t>CIS Controls v8.1</t>
  </si>
  <si>
    <t>Control 17 (Incident Response Management) planning safeguards</t>
  </si>
  <si>
    <t>Control 17 sets concrete, auditable expectations for incident-response planning.</t>
  </si>
  <si>
    <t>The simplified register intentionally keeps the source at control/safeguard level rather than reproducing licensed text.</t>
  </si>
  <si>
    <t>CIS Critical Security Controls v8.1 (June 2024)</t>
  </si>
  <si>
    <t>https://www.cisecurity.org/controls/v8-1</t>
  </si>
  <si>
    <t>Controls 13 and 8; Safeguard 17.9 (composite)</t>
  </si>
  <si>
    <t>Monitoring, logging and incident thresholds jointly perform the detection-and-analysis function.</t>
  </si>
  <si>
    <t>Composite mapping across safeguards with different granularity.</t>
  </si>
  <si>
    <t>Control 17 (no discrete containment safeguard) + technical safeguards that constrain spread</t>
  </si>
  <si>
    <t>CIS contains safeguards that can limit spread, but Control 17 does not define containment as a discrete response activity.</t>
  </si>
  <si>
    <t>Meaningful partial overlap only.</t>
  </si>
  <si>
    <t>Control 10 (Malware Defences); Control 7 (Continuous Vulnerability Management)</t>
  </si>
  <si>
    <t>Malware defence and vulnerability remediation support removal of causes and artefacts, but are not defined as incident-scoped eradication.</t>
  </si>
  <si>
    <t>Preventive/corrective safeguards rather than a dedicated eradication phase.</t>
  </si>
  <si>
    <t>Control 11 (Data Recovery); Safeguard 11.1</t>
  </si>
  <si>
    <t>CIS directly addresses restoration of enterprise assets to a trusted pre-incident state.</t>
  </si>
  <si>
    <t>Direct recovery relationship.</t>
  </si>
  <si>
    <t>Safeguard 17.8</t>
  </si>
  <si>
    <t>Safeguard 17.8 explicitly requires post-incident reviews.</t>
  </si>
  <si>
    <t>Safeguards 17.2, 17.3 and 17.6</t>
  </si>
  <si>
    <t>CIS explicitly defines reporting contacts, a reporting process and communication mechanisms.</t>
  </si>
  <si>
    <t>ASD Essential Eight</t>
  </si>
  <si>
    <t>Baseline mitigation strategies; ML2+ requirement to enact the incident response plan</t>
  </si>
  <si>
    <t>The baseline supports preparedness and ML2+ assumes an incident response plan exists, but the model does not itself define an IR planning method.</t>
  </si>
  <si>
    <t>Most contestable cell; R3 is a defensible alternative and the thesis sensitivity analysis records this. Original class: R2 (frozen v3.1, 29 August 2026). Final class: R3, recoded 3 September 2026 following the external SCF documentary benchmark (its single divergence, V3) and a re-check of the primary source under the conservative-resolution rule. See SCF Detail and the Change Log.</t>
  </si>
  <si>
    <t>Essential Eight Maturity Model, November 2023 update</t>
  </si>
  <si>
    <t>https://www.cyber.gov.au/business-government/asds-cyber-security-frameworks/essential-eight/essential-eight-maturity-model</t>
  </si>
  <si>
    <t>ML2+ incident detection and response requirements for internet-facing infrastructure (November 2023 update)</t>
  </si>
  <si>
    <t>The November 2023 update directly introduced incident detection and response requirements at Maturity Level 2 and above.</t>
  </si>
  <si>
    <t>Classification is conditioned on the applicable maturity level.</t>
  </si>
  <si>
    <t>Incident response plan enactment; preventive mitigation strategies (no containment actions specified)</t>
  </si>
  <si>
    <t>Plan enactment and preventive controls can limit spread, but the model does not specify containment actions.</t>
  </si>
  <si>
    <t>Patch applications; patch operating systems; hardening strategies</t>
  </si>
  <si>
    <t>Patching and hardening reduce root causes preventively, but do not describe removal of incident-specific artefacts.</t>
  </si>
  <si>
    <t>Regular backups (backup and restoration requirements)</t>
  </si>
  <si>
    <t>Backup and restoration provide the technical capability needed for recovery, but the model does not define the full recovery-validation process.</t>
  </si>
  <si>
    <t>R3 was considered; R2 retained at the capability level.</t>
  </si>
  <si>
    <t>The maturity model contains no post-incident review or learning requirement.</t>
  </si>
  <si>
    <t>The gap is consistent with the model's preventative-baseline scope.</t>
  </si>
  <si>
    <t>ML2+ requirement to report incidents to the CISO/delegate and ASD (November 2023 update)</t>
  </si>
  <si>
    <t>The November 2023 model directly requires incident reporting to the CISO/delegate and ASD at Maturity Level 2 and above.</t>
  </si>
  <si>
    <t>Framework-to-Pivot Relationship Matrix</t>
  </si>
  <si>
    <t>Plain-English takeaway</t>
  </si>
  <si>
    <t>Directly or equivalently addressed by four instruments; partial in the Essential Eight following primary-source review; supporting only in ATT&amp;CK.</t>
  </si>
  <si>
    <t>The strongest shared pivot: all six provide direct or functionally equivalent support.</t>
  </si>
  <si>
    <t>Only the NIST CSF is direct; four instruments overlap partially; the Essential Eight is supporting only.</t>
  </si>
  <si>
    <t>Strong in most governance/process/control frameworks; absent from ATT&amp;CK.</t>
  </si>
  <si>
    <t>Present in four frameworks; absent from ATT&amp;CK and Essential Eight.</t>
  </si>
  <si>
    <t>Strong in five frameworks; ATT&amp;CK provides technical vocabulary but not stakeholder/regulatory communication.</t>
  </si>
  <si>
    <t>Reading rule: R1/R2 = equivalent-scope correspondence; R3 = substantive only under the inclusive view; R4/R0 are reported but are not counted as substantive coverage.</t>
  </si>
  <si>
    <t>Coverage Summary</t>
  </si>
  <si>
    <t>Descriptive coverage of the final v3.2 coding. Equivalent scope = R1+R2; inclusive substantive = R1+R2+R3.</t>
  </si>
  <si>
    <t>Equivalent count</t>
  </si>
  <si>
    <t>Equivalent %</t>
  </si>
  <si>
    <t>Inclusive count</t>
  </si>
  <si>
    <t>Inclusive %</t>
  </si>
  <si>
    <t>Sensitivity (pp)</t>
  </si>
  <si>
    <t>Relationship class</t>
  </si>
  <si>
    <t>Count</t>
  </si>
  <si>
    <t>Overall view</t>
  </si>
  <si>
    <t>Value</t>
  </si>
  <si>
    <t>Equivalent-scope coverage</t>
  </si>
  <si>
    <t>Inclusive substantive coverage</t>
  </si>
  <si>
    <t>Register size</t>
  </si>
  <si>
    <t>42 cells</t>
  </si>
  <si>
    <t>Interpretation: these percentages describe the relationship coding in this register. They should not be read as a score of framework quality or effectiveness.</t>
  </si>
  <si>
    <t>SCF 2026.2 External Documentary Benchmark: 42-Cell Detail</t>
  </si>
  <si>
    <t>Comparison status is documentary only. V3 indicates a material divergence requiring primary-source review; V0 means no sufficiently comparable SCF mapping was available.</t>
  </si>
  <si>
    <t>Cell ID</t>
  </si>
  <si>
    <t>Original class</t>
  </si>
  <si>
    <t>Comparator?</t>
  </si>
  <si>
    <t>SCF control reference(s)</t>
  </si>
  <si>
    <t>SCF relationship</t>
  </si>
  <si>
    <t>Comparability</t>
  </si>
  <si>
    <t>Outcome</t>
  </si>
  <si>
    <t>Primary-source review?</t>
  </si>
  <si>
    <t>Final class</t>
  </si>
  <si>
    <t>Changed?</t>
  </si>
  <si>
    <t>Benchmark note</t>
  </si>
  <si>
    <t>CSF-P</t>
  </si>
  <si>
    <t>Y</t>
  </si>
  <si>
    <t>GOV-04; HRS-02; HRS-03; SAT-03 family; IRO-01; IRO-04; IRO-07</t>
  </si>
  <si>
    <t>GV.RR-02 -&gt; GOV-04/HRS-02/HRS-03 (Intersects With, 5-8); PR.AT-02 -&gt; SAT-03 family (Intersects With, 5); RS -&gt; IRO-01 (Subset Of, 10); RS.MA family -&gt; IRO-04/IRO-07 (Intersects With, 5)</t>
  </si>
  <si>
    <t>EXACT</t>
  </si>
  <si>
    <t>N</t>
  </si>
  <si>
    <t>Preparation content is stated as discrete FDEs distributed across Govern, Protect and Respond and maps substantively to governance, personnel, training and IR-planning controls; the distributed, composite character is exactly the register reading.</t>
  </si>
  <si>
    <t>CSF-D</t>
  </si>
  <si>
    <t>Detection and analysis</t>
  </si>
  <si>
    <t>MON-01; MON-02/-02.1; IRO-02; IRO-02.4; IRO-08; IRO-13</t>
  </si>
  <si>
    <t>DE.CM-01 -&gt; MON-01 (Subset Of, 10); RS.MA-03 -&gt; IRO-02.4 (Equal, 10); RS.AN-08 -&gt; IRO-02.4 (Equal, 10); RS.AN-07 -&gt; IRO-08 (Subset Of, 10); RS.AN-03 -&gt; IRO-13 (Equal, 10); DE.AE family -&gt; IRO-02/MON-02 (Intersects With, 3-10)</t>
  </si>
  <si>
    <t>Detection and analysis outcomes are discretely stated and map at Equal or Subset Of with maximum strength to monitoring, triage-classification, forensic and analysis controls; the strongest corroboration pattern in the CSF column.</t>
  </si>
  <si>
    <t>CSF-C</t>
  </si>
  <si>
    <t>IRO-02</t>
  </si>
  <si>
    <t>RS.MI-01 -&gt; IRO-02 (Subset Of, 10)</t>
  </si>
  <si>
    <t>A discrete containment FDE exists and is recorded as fully contained by the composite Incident Handling control at maximum strength, corroborating that the CSF states containment as a discrete outcome (the basis of the row's only R1). The SCF itself holds no discrete containment control; the FDE subsets into the composite.</t>
  </si>
  <si>
    <t>CSF-E</t>
  </si>
  <si>
    <t>RS.MI-02 -&gt; IRO-02 (Subset Of, 10)</t>
  </si>
  <si>
    <t>A discrete eradication FDE exists and subsets the composite handling control at maximum strength; same corroboration structure as containment.</t>
  </si>
  <si>
    <t>CSF-R</t>
  </si>
  <si>
    <t>BCD-01; BCD-01.4/.5; BCD-02; BCD-12; BCD-13.1; IRO-02; IRO-09</t>
  </si>
  <si>
    <t>RC.RP-02/-04 -&gt; BCD-01 (Subset Of, 10); RC.RP-05 -&gt; BCD-12 (Subset Of, 10); RC.RP-01/-03 -&gt; BCD recovery controls (Intersects With, 5); RC.RP-06 -&gt; IRO-02/IRO-09 (Intersects With, 5)</t>
  </si>
  <si>
    <t>All six recovery-plan-execution FDEs are mapped, three at Subset Of maximum strength into continuity and recovery-reconstitution controls; recovery is stated granularly and corroborated as direct.</t>
  </si>
  <si>
    <t>CSF-L</t>
  </si>
  <si>
    <t>Post-incident review and learning</t>
  </si>
  <si>
    <t>IRO-13; BCD-05; IRO-04/-04.2; CPL-03; IAO; TDA; TPM (breadth of ID.IM)</t>
  </si>
  <si>
    <t>ID.IM-02/-03 -&gt; IRO-13/BCD-05 (Intersects With, 5); ID.IM-01/-04 -&gt; improvement-adjacent controls across CPL/IAO/TDA/TPM/BCD (Intersects With, 5); separately RS.AN-03 -&gt; IRO-13 (Equal, 10)</t>
  </si>
  <si>
    <t>Supports the register reading that learning is expressed through continuous improvement rather than a discrete review phase: the ID.IM anchors reach lessons-learned controls only by intersection within a much broader improvement scope, while the SCF's strongest lessons-learned equivalence attaches to a different FDE (RS.AN-03). Material difference in granularity and anchor position; no inconsistency with R2.</t>
  </si>
  <si>
    <t>CSF-K</t>
  </si>
  <si>
    <t>IRO-10/-10.2/-10.4; IRO-16; BCD-01.6; IRO-02</t>
  </si>
  <si>
    <t>RC.CO-03 -&gt; BCD-01.6 (Equal, 10); RC.CO-04 -&gt; IRO-16 (Subset Of, 10); RS.CO-02/-03 -&gt; IRO-10 family (Intersects With, 5)</t>
  </si>
  <si>
    <t>Communication outcomes are discretely stated and map to reporting, recovery-communication and reputation controls, two at Equal or Subset Of maximum strength; corroborates direct statement of the communication function.</t>
  </si>
  <si>
    <t>ISO-P</t>
  </si>
  <si>
    <t>n/a</t>
  </si>
  <si>
    <t>NO COMPARATOR</t>
  </si>
  <si>
    <t>ISO/IEC 27035 is not among the 252 focal documents of SCF 2026.2; the ISO-family coverage is confined to ISO/IEC 27001:2022 and 27002:2022, which were not accepted as substitutes. No defensible comparison exists for this instrument.</t>
  </si>
  <si>
    <t>ISO-D</t>
  </si>
  <si>
    <t>ISO-C</t>
  </si>
  <si>
    <t>ISO-E</t>
  </si>
  <si>
    <t>ISO-R</t>
  </si>
  <si>
    <t>ISO-L</t>
  </si>
  <si>
    <t>ISO-K</t>
  </si>
  <si>
    <t>ATK-P</t>
  </si>
  <si>
    <t>RELATED BUT NOT COMPARABLE</t>
  </si>
  <si>
    <t>The SCF maps MITRE ATT&amp;CK edition 16.1 as adversary techniques through a mitigation-coverage record, not as an obligations crosswalk, and that edition predates the register snapshot; no cell-level comparison is defensible for this instrument.</t>
  </si>
  <si>
    <t>ATK-D</t>
  </si>
  <si>
    <t>ATK-C</t>
  </si>
  <si>
    <t>ATK-E</t>
  </si>
  <si>
    <t>ATK-R</t>
  </si>
  <si>
    <t>ATK-L</t>
  </si>
  <si>
    <t>ATK-K</t>
  </si>
  <si>
    <t>COB-P</t>
  </si>
  <si>
    <t>IRO-01/-02/-03/-04; RSK-01 family; GOV-01; PRM-01; BCD-01/-03/-04/-06</t>
  </si>
  <si>
    <t>DSS02.01 -&gt; IRO-01 (Subset Of, 10) and IRO-02/-03/-04 (Intersects With, 8); APO12.x -&gt; RSK-01 (Subset Of, 10); APO13.01/.03 -&gt; GOV-01 (Subset Of, 10); DSS04.x -&gt; BCD-01/-04/-06 (Subset Of, 10)</t>
  </si>
  <si>
    <t>Each constituent of the composite (incident-management definition, risk management, security management, continuity) maps strongly into its respective SCF domain, with no single preparedness construct on either side; corroborates the composite, collectively functional R2 reading.</t>
  </si>
  <si>
    <t>COB-D</t>
  </si>
  <si>
    <t>IRO-02; IRO-09; MON-01/-01.1; VPM-01/-06; END-01</t>
  </si>
  <si>
    <t>DSS02.02 -&gt; IRO-02/IRO-09 (Intersects With, 8); DSS02.04 -&gt; IRO-02 (Intersects With, 8); DSS05.07 -&gt; MON-01/MON-01.1 (Intersects With, 8)</t>
  </si>
  <si>
    <t>Supports the general relationship: the anchored practices map substantively to incident handling, situational awareness and monitoring controls. Differs in scope reading: the SCF records intersection rather than equality throughout, reflecting that DSS02 practices bundle service-request handling with incident content; partial corroboration of the practice-level direct (R1) reading.</t>
  </si>
  <si>
    <t>COB-C</t>
  </si>
  <si>
    <t>IRO-02; IRO-09; BCD-01</t>
  </si>
  <si>
    <t>DSS02.05 -&gt; IRO-02/IRO-09 (Intersects With, 8); DSS04.03 -&gt; BCD-01 (Subset Of, 10, a continuity construct)</t>
  </si>
  <si>
    <t>Corroborates the partial (R3) reading: resolution and continuity practices reach the handling composite by intersection only, no containment-specific construct exists on either side, and the continuity anchor subsets a continuity control rather than a containment one.</t>
  </si>
  <si>
    <t>COB-E</t>
  </si>
  <si>
    <t>IRO-02; IRO-02.4; IRO-13; IRO-04.2/-04.3</t>
  </si>
  <si>
    <t>DSS03.02 -&gt; IRO-02 (Intersects With, 8); DSS03.01 -&gt; IRO-02.4 (Intersects With, 8); DSS03.03 -&gt; IRO-13 (Intersects With, 8); DSS02.05 -&gt; IRO-02 (Intersects With, 8)</t>
  </si>
  <si>
    <t>Corroborates the partial (R3) reading: problem-management practices intersect incident handling and learning controls without equivalence; root-cause removal is not incident-scoped on either reading.</t>
  </si>
  <si>
    <t>COB-R</t>
  </si>
  <si>
    <t>BCD-01; BCD-04; BCD-06; BCD-11; BCD-12</t>
  </si>
  <si>
    <t>DSS04.01/.02/.03/.07 -&gt; BCD-01 (Subset Of, 10); DSS04.04 -&gt; BCD-04 (Subset Of, 10); DSS04.07 -&gt; BCD-11/BCD-12 (Intersects With, 8)</t>
  </si>
  <si>
    <t>Continuity response and resumption practices map at Subset Of maximum strength into continuity, testing, backup and recovery-reconstitution controls; corroborates the direct (R1) practice-level reading.</t>
  </si>
  <si>
    <t>COB-L</t>
  </si>
  <si>
    <t>BCD-05; IRO-13; IRO-04.3</t>
  </si>
  <si>
    <t>DSS04.08 -&gt; BCD-05 (Intersects With, 8); DSS03.03 -&gt; IRO-13 (Intersects With, 8); DSS03.04/.05 -&gt; IRO-04.3 (Intersects With, 8)</t>
  </si>
  <si>
    <t>Corroborates the distributed, functionally equivalent (R2) reading: the learning function is covered jointly by post-resumption review and problem-management practices, each intersecting the SCF's discrete lessons-learned and continuous-improvement controls.</t>
  </si>
  <si>
    <t>COB-K</t>
  </si>
  <si>
    <t>IRO-10; IRO-02; IRO-09</t>
  </si>
  <si>
    <t>EDM05.02 -&gt; IRO-10 (Intersects With, 8); DSS02 practices -&gt; IRO-02/IRO-09 (Intersects With, 8)</t>
  </si>
  <si>
    <t>Supports the distributed (R2) reading: no discrete incident-communication practice exists and the function is reached through governance-level stakeholder reporting and the incident-management practices. Differs in granularity: the only stakeholder-reporting record sits at the governance objective (EDM05.02) rather than within DSS02.</t>
  </si>
  <si>
    <t>CIS-P</t>
  </si>
  <si>
    <t>IRO-01; IRO-04; IRO-06; IRO-07</t>
  </si>
  <si>
    <t>17 -&gt; IRO-01 (Subset Of, 10); 17.5 -&gt; IRO-01 (Subset Of, 10); 17.1/17.4/17.6 -&gt; IRO-04/IRO-07 (Intersects With, 5); 17.7 -&gt; IRO-06 (Intersects With, 5)</t>
  </si>
  <si>
    <t>Control 17 and its planning safeguards map to the IR programme, plan, team and testing controls, with the control-level records at Subset Of maximum strength; corroborates the direct, auditable-safeguard (R1) reading.</t>
  </si>
  <si>
    <t>CIS-D</t>
  </si>
  <si>
    <t>MON-01; MON-01.8/-01.13; MON-02/-02.1/-02.2; IRO-02</t>
  </si>
  <si>
    <t>13 -&gt; MON-01 (Subset Of, 10); 13.1 -&gt; MON-02 (Equal, 10); 8 -&gt; MON-01 (Subset Of, 10); 8.9 -&gt; MON-02 (Equal, 10); 8.11 -&gt; MON-02.2 (Equal, 10); 17.9 -&gt; IRO-02/IRO-04/IRO-07 (Intersects With, 5)</t>
  </si>
  <si>
    <t>The composite of logging, monitoring and threshold safeguards maps at Equal and Subset Of maximum strength to log-collection, review and monitoring controls, with the threshold safeguard intersecting incident handling; corroborates the composite functionally equivalent (R2) reading.</t>
  </si>
  <si>
    <t>CIS-C</t>
  </si>
  <si>
    <t>IRO-02; NET-04; NET-08</t>
  </si>
  <si>
    <t>17.x -&gt; IRO-02 (Intersects With, 5, several safeguards); network safeguards 13.3/13.8 -&gt; NET-08 (Equal, 10), 13.4 -&gt; NET-04 (Intersects With, 5)</t>
  </si>
  <si>
    <t>Corroborates the partial (R3) reading: no safeguard maps to a containment-specific construct (none exists on either side); Control 17 safeguards intersect the handling composite and technical safeguards map to preventive network controls that constrain spread.</t>
  </si>
  <si>
    <t>CIS-E</t>
  </si>
  <si>
    <t>END-01; END-02; END-04/-04.1/-04.3/-04.4; VPM-01/-02/-05/-06</t>
  </si>
  <si>
    <t>10 -&gt; END-01 (Subset Of, 10); 10.1 -&gt; END-04 (Equal, 10); 7 -&gt; VPM-01 (Subset Of, 10); 7.2/7.3 -&gt; VPM-02/VPM-05 (Equal, 10)</t>
  </si>
  <si>
    <t>Corroborates the preventive-corrective (R3) reading: the anchored controls map strongly into the anti-malware and vulnerability-management domains, not into the incident-handling eradication component; the scope the register recorded is the scope the external mapping records.</t>
  </si>
  <si>
    <t>CIS-R</t>
  </si>
  <si>
    <t>BCD-01; BCD-11/-11.1/-11.5; BCD-12; BCD-14; DCH-01</t>
  </si>
  <si>
    <t>11.2 -&gt; BCD-11 (Equal, 10); 11.4 -&gt; BCD-14 (Equal, 10); 11 -&gt; BCD-01/DCH-01 (Subset Of, 10); 11.1 -&gt; BCD-01 (Subset Of, 10)</t>
  </si>
  <si>
    <t>Data-recovery safeguards map at Equal and Subset Of maximum strength to backup, restoration-testing and isolated-recovery controls; corroborates the direct (R1) reading.</t>
  </si>
  <si>
    <t>CIS-L</t>
  </si>
  <si>
    <t>IRO-13</t>
  </si>
  <si>
    <t>17.8 -&gt; IRO-13 (Equal, 10)</t>
  </si>
  <si>
    <t>The register's anchor maps as Equal at maximum strength to the SCF's Root Cause Analysis and Lessons Learned control; the cleanest single corroboration in the benchmark.</t>
  </si>
  <si>
    <t>CIS-K</t>
  </si>
  <si>
    <t>IRO-10/-10.2/-10.3/-10.4; IRO-02; IRO-04; IRO-07; IRO-09</t>
  </si>
  <si>
    <t>17.2 -&gt; IRO-10 family (Intersects With, 5); 17.3 -&gt; IRO-02 (Equal, 10); 17.6 -&gt; IRO-02/IRO-04/IRO-07/IRO-09 (Intersects With, 5)</t>
  </si>
  <si>
    <t>Supports the general relationship: the communication safeguards exist as discrete FDEs and map to reporting and handling controls. Differs in scope reading: the SCF records the reporting-process safeguard as Equal to incident handling and the remaining safeguards as moderate intersections, associating the communication content partly with handling rather than with communication-specific controls; partial corroboration of R1.</t>
  </si>
  <si>
    <t>E8-P</t>
  </si>
  <si>
    <t>IRO-02 (no record to IRO-01/-04/-05/-06/-07); VPM/CFG/IAC preventive domains</t>
  </si>
  <si>
    <t>Plan-enactment FDEs ("Following the identification of a cyber security incident, the cyber security incident response plan is enacted") -&gt; IRO-02 Incident Handling (Subset Of, 10); no E8 FDE maps to any IR planning, training, testing or team control; preventive requirements -&gt; preventive domains</t>
  </si>
  <si>
    <t>NEAR</t>
  </si>
  <si>
    <t>The single material divergence in the benchmark. The SCF records the plan-enactment requirement as Subset Of its composite Incident Handling control and records no relationship between any Essential Eight requirement and any planning, training, testing or response-team construct. This prompted a re-check of the primary source: the enactment provision is conditioned on an incident having been identified and obliges activation of an existing plan; it neither requires nor establishes preparation activities, and the model defines no planning method. The v3.1 ambiguity note had identified R3 as the defensible alternative; under the conservative-resolution rule the classification was revised from R2 to R3 on 3 September 2026. The primary source, not the SCF, determined the final class.</t>
  </si>
  <si>
    <t>E8-D</t>
  </si>
  <si>
    <t>IRO-02; MON-02.2</t>
  </si>
  <si>
    <t>Event-log analysis and incident identification FDEs ("Event logs from internet-facing servers are analysed in a timely manner to detect cyber security events"; "Cyber security events are analysed ... to identify cyber security incidents") -&gt; MON-02.2 (Intersects With, 5); incident response FDEs -&gt; IRO-02 (Subset Of, 10); present at ML2 and ML3 only</t>
  </si>
  <si>
    <t>Corroborates the maturity-conditioned direct (R1) reading: the November 2023 detection and analysis requirements exist as ML2 and ML3 FDEs (absent at ML1), carry the internet-facing conditioning in their text, and map substantively to central log review and incident handling controls.</t>
  </si>
  <si>
    <t>E8-C</t>
  </si>
  <si>
    <t>IRO-02 (composite; includes containment as component)</t>
  </si>
  <si>
    <t>Plan-enactment FDEs -&gt; IRO-02 (Subset Of, 10); no containment-specific FDE or record</t>
  </si>
  <si>
    <t>Supports the supporting-only (R4) reading: no containment action is specified anywhere in the model and the only route to the containment function is the whole-plan enactment record into the composite handling control, which cannot discriminate containment. The composite subsumption limits the comparison's granularity for this cell.</t>
  </si>
  <si>
    <t>E8-E</t>
  </si>
  <si>
    <t>VPM-05/-06/-06.1; CFG hardening controls (preventive); IRO-02 via enactment only</t>
  </si>
  <si>
    <t>Patching FDEs -&gt; VPM-05 (Subset Of, 10), VPM-06/VPM-06.1 (Intersects With, 8); hardening FDEs -&gt; CFG controls; no record to any eradication-specific construct</t>
  </si>
  <si>
    <t>Corroborates the preventive (R4) reading: the patching and hardening requirements map into the vulnerability-management and configuration domains, not into incident-scoped eradication; the preventive scope the register recorded is the scope the external mapping records.</t>
  </si>
  <si>
    <t>E8-R</t>
  </si>
  <si>
    <t>BCD-01.4; BCD-11; BCD-11.5</t>
  </si>
  <si>
    <t>Backup FDEs -&gt; BCD-01.4 (RTO/RPO), BCD-11 (Data Backups), BCD-11.5 (test restoration) (Intersects With, 5); no records to recovery-reconstitution, restoration-integrity or recovery-operations controls</t>
  </si>
  <si>
    <t>Supports the capability-level (R2) reading with a material scope difference: the backup requirements intersect backup and restoration-testing controls at moderate strength only, and the absence of any record into broader recovery-process controls corroborates the register's caveat that recovery validation and return-to-operation are not defined; consistent with the note that R3 was considered.</t>
  </si>
  <si>
    <t>E8-L</t>
  </si>
  <si>
    <t>None (IRO-13, BCD-05, IRO-04.3, IRO-09.2 all absent)</t>
  </si>
  <si>
    <t>No E8 FDE holds any relationship with a lessons-learned, root-cause or improvement control; the focal document is fully covered by the STRM (24 of 24 FDEs mapped), so the absence is interpretable</t>
  </si>
  <si>
    <t>Corroborates the no-match (R0) reading by valid absence inference: the model contains no review or learning requirement and the external mapping, which covers the entire focal document, records none.</t>
  </si>
  <si>
    <t>E8-K</t>
  </si>
  <si>
    <t>IRO-10</t>
  </si>
  <si>
    <t>Reporting FDEs -&gt; IRO-10 Incident Stakeholder Reporting (Subset Of, 10); present at ML2 and ML3 only</t>
  </si>
  <si>
    <t>Corroborates the maturity-conditioned direct (R1) reading: the November 2023 reporting requirements exist as ML2 and ML3 FDEs and are recorded as subsets of the stakeholder-reporting control at maximum strength.</t>
  </si>
  <si>
    <t>SCF 2026.2 External Documentary Benchmark: Summary</t>
  </si>
  <si>
    <t>Benchmark executed 3 September 2026. Percentages are reported over the 28 cells judged sufficiently comparable, not over all 42 cells.</t>
  </si>
  <si>
    <t>Comparator</t>
  </si>
  <si>
    <t>Comparable</t>
  </si>
  <si>
    <t>Changed</t>
  </si>
  <si>
    <t>Exact</t>
  </si>
  <si>
    <t>Related, not comparable</t>
  </si>
  <si>
    <t>Near</t>
  </si>
  <si>
    <t>Total</t>
  </si>
  <si>
    <t>Comparable cells</t>
  </si>
  <si>
    <t>Interpretation: of the 28 comparable cells, 21 were corroborated, six were partially corroborated and one produced a material divergence; no cell received a merely contextual outcome (V4). The divergence concerned Essential Eight Preparation. The SCF result prompted a re-check of the primary Essential Eight source, after which the classification was conservatively revised from R2 to R3. All other FIM classifications remained unchanged.</t>
  </si>
  <si>
    <t>Framework and Benchmark Sources</t>
  </si>
  <si>
    <t>Versions used in the RQ2 register. Official source URLs are provided for traceability; licensed framework text is not reproduced.</t>
  </si>
  <si>
    <t>Source</t>
  </si>
  <si>
    <t>Edition / snapshot</t>
  </si>
  <si>
    <t>Role in RQ2</t>
  </si>
  <si>
    <t>Primary FIM source</t>
  </si>
  <si>
    <t>Secure Controls Framework</t>
  </si>
  <si>
    <t>SCF 2026.2 (workbook generated 8 July 2026; July 2026 STRM record set)</t>
  </si>
  <si>
    <t>External documentary benchmark</t>
  </si>
  <si>
    <t>https://securecontrolsframework.com/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</si>
</sst>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charset val="1"/>
    </font>
    <font>
      <b/>
      <sz val="12"/>
      <name val="Cambria"/>
      <charset val="1"/>
    </font>
    <font>
      <b/>
      <sz val="11"/>
      <name val="Cambria"/>
      <charset val="1"/>
    </font>
    <font>
      <sz val="11"/>
      <name val="Calibri"/>
      <charset val="1"/>
    </font>
    <font>
      <u/>
      <sz val="11"/>
      <color rgb="FF0563C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CE4D6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wrapText="1"/>
    </xf>
    <xf numFmtId="0" fontId="3" fillId="0" borderId="0" xfId="0" applyFont="1"/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0" fillId="3" borderId="0" xfId="0" applyFill="1"/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4" fontId="2" fillId="2" borderId="1" xfId="0" applyNumberFormat="1" applyFont="1" applyFill="1" applyBorder="1" applyAlignment="1">
      <alignment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so.org/standard/78973.html" TargetMode="External"/><Relationship Id="rId18" Type="http://schemas.openxmlformats.org/officeDocument/2006/relationships/hyperlink" Target="https://attack.mitre.org/resources/working-with-attack/" TargetMode="External"/><Relationship Id="rId26" Type="http://schemas.openxmlformats.org/officeDocument/2006/relationships/hyperlink" Target="https://www.isaca.org/resources/cobit" TargetMode="External"/><Relationship Id="rId39" Type="http://schemas.openxmlformats.org/officeDocument/2006/relationships/hyperlink" Target="https://www.cyber.gov.au/business-government/asds-cyber-security-frameworks/essential-eight/essential-eight-maturity-model" TargetMode="External"/><Relationship Id="rId21" Type="http://schemas.openxmlformats.org/officeDocument/2006/relationships/hyperlink" Target="https://attack.mitre.org/resources/working-with-attack/" TargetMode="External"/><Relationship Id="rId34" Type="http://schemas.openxmlformats.org/officeDocument/2006/relationships/hyperlink" Target="https://www.cisecurity.org/controls/v8-1" TargetMode="External"/><Relationship Id="rId42" Type="http://schemas.openxmlformats.org/officeDocument/2006/relationships/hyperlink" Target="https://www.cyber.gov.au/business-government/asds-cyber-security-frameworks/essential-eight/essential-eight-maturity-model" TargetMode="External"/><Relationship Id="rId7" Type="http://schemas.openxmlformats.org/officeDocument/2006/relationships/hyperlink" Target="https://www.nist.gov/publications/nist-cybersecurity-framework-csf-20" TargetMode="External"/><Relationship Id="rId2" Type="http://schemas.openxmlformats.org/officeDocument/2006/relationships/hyperlink" Target="https://www.nist.gov/publications/nist-cybersecurity-framework-csf-20" TargetMode="External"/><Relationship Id="rId16" Type="http://schemas.openxmlformats.org/officeDocument/2006/relationships/hyperlink" Target="https://attack.mitre.org/resources/working-with-attack/" TargetMode="External"/><Relationship Id="rId20" Type="http://schemas.openxmlformats.org/officeDocument/2006/relationships/hyperlink" Target="https://attack.mitre.org/resources/working-with-attack/" TargetMode="External"/><Relationship Id="rId29" Type="http://schemas.openxmlformats.org/officeDocument/2006/relationships/hyperlink" Target="https://www.cisecurity.org/controls/v8-1" TargetMode="External"/><Relationship Id="rId41" Type="http://schemas.openxmlformats.org/officeDocument/2006/relationships/hyperlink" Target="https://www.cyber.gov.au/business-government/asds-cyber-security-frameworks/essential-eight/essential-eight-maturity-model" TargetMode="External"/><Relationship Id="rId1" Type="http://schemas.openxmlformats.org/officeDocument/2006/relationships/hyperlink" Target="https://www.nist.gov/publications/nist-cybersecurity-framework-csf-20" TargetMode="External"/><Relationship Id="rId6" Type="http://schemas.openxmlformats.org/officeDocument/2006/relationships/hyperlink" Target="https://www.nist.gov/publications/nist-cybersecurity-framework-csf-20" TargetMode="External"/><Relationship Id="rId11" Type="http://schemas.openxmlformats.org/officeDocument/2006/relationships/hyperlink" Target="https://www.iso.org/standard/78973.html" TargetMode="External"/><Relationship Id="rId24" Type="http://schemas.openxmlformats.org/officeDocument/2006/relationships/hyperlink" Target="https://www.isaca.org/resources/cobit" TargetMode="External"/><Relationship Id="rId32" Type="http://schemas.openxmlformats.org/officeDocument/2006/relationships/hyperlink" Target="https://www.cisecurity.org/controls/v8-1" TargetMode="External"/><Relationship Id="rId37" Type="http://schemas.openxmlformats.org/officeDocument/2006/relationships/hyperlink" Target="https://www.cyber.gov.au/business-government/asds-cyber-security-frameworks/essential-eight/essential-eight-maturity-model" TargetMode="External"/><Relationship Id="rId40" Type="http://schemas.openxmlformats.org/officeDocument/2006/relationships/hyperlink" Target="https://www.cyber.gov.au/business-government/asds-cyber-security-frameworks/essential-eight/essential-eight-maturity-model" TargetMode="External"/><Relationship Id="rId5" Type="http://schemas.openxmlformats.org/officeDocument/2006/relationships/hyperlink" Target="https://www.nist.gov/publications/nist-cybersecurity-framework-csf-20" TargetMode="External"/><Relationship Id="rId15" Type="http://schemas.openxmlformats.org/officeDocument/2006/relationships/hyperlink" Target="https://attack.mitre.org/resources/working-with-attack/" TargetMode="External"/><Relationship Id="rId23" Type="http://schemas.openxmlformats.org/officeDocument/2006/relationships/hyperlink" Target="https://www.isaca.org/resources/cobit" TargetMode="External"/><Relationship Id="rId28" Type="http://schemas.openxmlformats.org/officeDocument/2006/relationships/hyperlink" Target="https://www.isaca.org/resources/cobit" TargetMode="External"/><Relationship Id="rId36" Type="http://schemas.openxmlformats.org/officeDocument/2006/relationships/hyperlink" Target="https://www.cyber.gov.au/business-government/asds-cyber-security-frameworks/essential-eight/essential-eight-maturity-model" TargetMode="External"/><Relationship Id="rId10" Type="http://schemas.openxmlformats.org/officeDocument/2006/relationships/hyperlink" Target="https://www.iso.org/standard/78973.html" TargetMode="External"/><Relationship Id="rId19" Type="http://schemas.openxmlformats.org/officeDocument/2006/relationships/hyperlink" Target="https://attack.mitre.org/resources/working-with-attack/" TargetMode="External"/><Relationship Id="rId31" Type="http://schemas.openxmlformats.org/officeDocument/2006/relationships/hyperlink" Target="https://www.cisecurity.org/controls/v8-1" TargetMode="External"/><Relationship Id="rId4" Type="http://schemas.openxmlformats.org/officeDocument/2006/relationships/hyperlink" Target="https://www.nist.gov/publications/nist-cybersecurity-framework-csf-20" TargetMode="External"/><Relationship Id="rId9" Type="http://schemas.openxmlformats.org/officeDocument/2006/relationships/hyperlink" Target="https://www.iso.org/standard/78973.html" TargetMode="External"/><Relationship Id="rId14" Type="http://schemas.openxmlformats.org/officeDocument/2006/relationships/hyperlink" Target="https://www.iso.org/standard/78973.html" TargetMode="External"/><Relationship Id="rId22" Type="http://schemas.openxmlformats.org/officeDocument/2006/relationships/hyperlink" Target="https://www.isaca.org/resources/cobit" TargetMode="External"/><Relationship Id="rId27" Type="http://schemas.openxmlformats.org/officeDocument/2006/relationships/hyperlink" Target="https://www.isaca.org/resources/cobit" TargetMode="External"/><Relationship Id="rId30" Type="http://schemas.openxmlformats.org/officeDocument/2006/relationships/hyperlink" Target="https://www.cisecurity.org/controls/v8-1" TargetMode="External"/><Relationship Id="rId35" Type="http://schemas.openxmlformats.org/officeDocument/2006/relationships/hyperlink" Target="https://www.cisecurity.org/controls/v8-1" TargetMode="External"/><Relationship Id="rId8" Type="http://schemas.openxmlformats.org/officeDocument/2006/relationships/hyperlink" Target="https://www.iso.org/standard/78973.html" TargetMode="External"/><Relationship Id="rId3" Type="http://schemas.openxmlformats.org/officeDocument/2006/relationships/hyperlink" Target="https://www.nist.gov/publications/nist-cybersecurity-framework-csf-20" TargetMode="External"/><Relationship Id="rId12" Type="http://schemas.openxmlformats.org/officeDocument/2006/relationships/hyperlink" Target="https://www.iso.org/standard/78973.html" TargetMode="External"/><Relationship Id="rId17" Type="http://schemas.openxmlformats.org/officeDocument/2006/relationships/hyperlink" Target="https://attack.mitre.org/resources/working-with-attack/" TargetMode="External"/><Relationship Id="rId25" Type="http://schemas.openxmlformats.org/officeDocument/2006/relationships/hyperlink" Target="https://www.isaca.org/resources/cobit" TargetMode="External"/><Relationship Id="rId33" Type="http://schemas.openxmlformats.org/officeDocument/2006/relationships/hyperlink" Target="https://www.cisecurity.org/controls/v8-1" TargetMode="External"/><Relationship Id="rId38" Type="http://schemas.openxmlformats.org/officeDocument/2006/relationships/hyperlink" Target="https://www.cyber.gov.au/business-government/asds-cyber-security-frameworks/essential-eight/essential-eight-maturity-mode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resources/working-with-attack/" TargetMode="External"/><Relationship Id="rId7" Type="http://schemas.openxmlformats.org/officeDocument/2006/relationships/hyperlink" Target="https://securecontrolsframework.com/" TargetMode="External"/><Relationship Id="rId2" Type="http://schemas.openxmlformats.org/officeDocument/2006/relationships/hyperlink" Target="https://www.iso.org/standard/78973.html" TargetMode="External"/><Relationship Id="rId1" Type="http://schemas.openxmlformats.org/officeDocument/2006/relationships/hyperlink" Target="https://www.nist.gov/publications/nist-cybersecurity-framework-csf-20" TargetMode="External"/><Relationship Id="rId6" Type="http://schemas.openxmlformats.org/officeDocument/2006/relationships/hyperlink" Target="https://www.cyber.gov.au/business-government/asds-cyber-security-frameworks/essential-eight/essential-eight-maturity-model" TargetMode="External"/><Relationship Id="rId5" Type="http://schemas.openxmlformats.org/officeDocument/2006/relationships/hyperlink" Target="https://www.cisecurity.org/controls/v8-1" TargetMode="External"/><Relationship Id="rId4" Type="http://schemas.openxmlformats.org/officeDocument/2006/relationships/hyperlink" Target="https://www.isaca.org/resources/cob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7" zoomScaleNormal="100" workbookViewId="0">
      <selection activeCell="A38" sqref="A38:H39"/>
    </sheetView>
  </sheetViews>
  <sheetFormatPr defaultColWidth="8.6328125" defaultRowHeight="14.5" x14ac:dyDescent="0.35"/>
  <cols>
    <col min="1" max="1" width="22" customWidth="1"/>
    <col min="2" max="2" width="40" customWidth="1"/>
    <col min="3" max="3" width="60" customWidth="1"/>
    <col min="4" max="4" width="22" customWidth="1"/>
    <col min="5" max="5" width="18" customWidth="1"/>
    <col min="6" max="6" width="7" customWidth="1"/>
    <col min="7" max="7" width="22" customWidth="1"/>
    <col min="8" max="8" width="52" customWidth="1"/>
  </cols>
  <sheetData>
    <row r="1" spans="1:8" x14ac:dyDescent="0.3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5">
      <c r="A2" s="6"/>
      <c r="B2" s="6"/>
      <c r="C2" s="6"/>
      <c r="D2" s="6"/>
      <c r="E2" s="6"/>
      <c r="F2" s="6"/>
      <c r="G2" s="6"/>
      <c r="H2" s="6"/>
    </row>
    <row r="3" spans="1:8" ht="15" customHeight="1" x14ac:dyDescent="0.35">
      <c r="A3" s="4" t="s">
        <v>1</v>
      </c>
      <c r="B3" s="4"/>
      <c r="C3" s="4"/>
      <c r="D3" s="4"/>
      <c r="E3" s="4"/>
      <c r="F3" s="4"/>
      <c r="G3" s="4"/>
      <c r="H3" s="4"/>
    </row>
    <row r="5" spans="1:8" ht="15" customHeight="1" x14ac:dyDescent="0.35">
      <c r="A5" s="3" t="s">
        <v>2</v>
      </c>
      <c r="B5" s="3"/>
      <c r="D5" s="3" t="s">
        <v>3</v>
      </c>
      <c r="E5" s="3"/>
      <c r="F5" s="3"/>
      <c r="G5" s="3"/>
      <c r="H5" s="3"/>
    </row>
    <row r="6" spans="1:8" ht="27.75" customHeight="1" x14ac:dyDescent="0.35">
      <c r="A6" t="s">
        <v>4</v>
      </c>
      <c r="B6">
        <v>6</v>
      </c>
      <c r="D6" t="s">
        <v>5</v>
      </c>
      <c r="E6" s="4" t="s">
        <v>6</v>
      </c>
      <c r="F6" s="4"/>
      <c r="G6" s="4"/>
      <c r="H6" s="4"/>
    </row>
    <row r="7" spans="1:8" ht="15" customHeight="1" x14ac:dyDescent="0.35">
      <c r="A7" t="s">
        <v>7</v>
      </c>
      <c r="B7">
        <v>7</v>
      </c>
      <c r="D7" t="s">
        <v>8</v>
      </c>
      <c r="E7" s="4" t="s">
        <v>9</v>
      </c>
      <c r="F7" s="4"/>
      <c r="G7" s="4"/>
      <c r="H7" s="4"/>
    </row>
    <row r="8" spans="1:8" ht="15" customHeight="1" x14ac:dyDescent="0.35">
      <c r="A8" t="s">
        <v>10</v>
      </c>
      <c r="B8">
        <v>42</v>
      </c>
      <c r="D8" t="s">
        <v>11</v>
      </c>
      <c r="E8" s="4" t="s">
        <v>12</v>
      </c>
      <c r="F8" s="4"/>
      <c r="G8" s="4"/>
      <c r="H8" s="4"/>
    </row>
    <row r="9" spans="1:8" ht="27.75" customHeight="1" x14ac:dyDescent="0.35">
      <c r="A9" t="s">
        <v>13</v>
      </c>
      <c r="B9">
        <v>28</v>
      </c>
      <c r="D9" t="s">
        <v>14</v>
      </c>
      <c r="E9" s="4" t="s">
        <v>15</v>
      </c>
      <c r="F9" s="4"/>
      <c r="G9" s="4"/>
      <c r="H9" s="4"/>
    </row>
    <row r="10" spans="1:8" ht="15" customHeight="1" x14ac:dyDescent="0.35">
      <c r="A10" t="s">
        <v>16</v>
      </c>
      <c r="B10" t="s">
        <v>17</v>
      </c>
      <c r="D10" t="s">
        <v>18</v>
      </c>
      <c r="E10" s="4" t="s">
        <v>19</v>
      </c>
      <c r="F10" s="4"/>
      <c r="G10" s="4"/>
      <c r="H10" s="4"/>
    </row>
    <row r="11" spans="1:8" ht="27.75" customHeight="1" x14ac:dyDescent="0.35">
      <c r="A11" t="s">
        <v>20</v>
      </c>
      <c r="B11" s="7" t="s">
        <v>21</v>
      </c>
      <c r="D11" t="s">
        <v>22</v>
      </c>
      <c r="E11" s="4" t="s">
        <v>23</v>
      </c>
      <c r="F11" s="4"/>
      <c r="G11" s="4"/>
      <c r="H11" s="4"/>
    </row>
    <row r="14" spans="1:8" x14ac:dyDescent="0.35">
      <c r="A14" s="2" t="s">
        <v>24</v>
      </c>
      <c r="B14" s="2"/>
      <c r="C14" s="2"/>
      <c r="D14" s="2"/>
      <c r="F14" s="2" t="s">
        <v>25</v>
      </c>
      <c r="G14" s="2"/>
      <c r="H14" s="2"/>
    </row>
    <row r="15" spans="1:8" x14ac:dyDescent="0.35">
      <c r="A15" s="8" t="s">
        <v>26</v>
      </c>
      <c r="B15" s="8" t="s">
        <v>27</v>
      </c>
      <c r="C15" s="8" t="s">
        <v>28</v>
      </c>
      <c r="D15" s="8" t="s">
        <v>29</v>
      </c>
      <c r="F15" s="8" t="s">
        <v>26</v>
      </c>
      <c r="G15" s="8" t="s">
        <v>27</v>
      </c>
      <c r="H15" s="8" t="s">
        <v>30</v>
      </c>
    </row>
    <row r="16" spans="1:8" ht="28.5" customHeight="1" x14ac:dyDescent="0.35">
      <c r="A16" t="s">
        <v>31</v>
      </c>
      <c r="B16" t="s">
        <v>32</v>
      </c>
      <c r="C16" s="7" t="s">
        <v>33</v>
      </c>
      <c r="D16" t="s">
        <v>34</v>
      </c>
      <c r="F16" t="s">
        <v>35</v>
      </c>
      <c r="G16" t="s">
        <v>36</v>
      </c>
      <c r="H16" s="7" t="s">
        <v>37</v>
      </c>
    </row>
    <row r="17" spans="1:8" ht="28.5" customHeight="1" x14ac:dyDescent="0.35">
      <c r="A17" t="s">
        <v>38</v>
      </c>
      <c r="B17" t="s">
        <v>39</v>
      </c>
      <c r="C17" s="7" t="s">
        <v>40</v>
      </c>
      <c r="D17" t="s">
        <v>34</v>
      </c>
      <c r="F17" t="s">
        <v>41</v>
      </c>
      <c r="G17" t="s">
        <v>42</v>
      </c>
      <c r="H17" s="7" t="s">
        <v>43</v>
      </c>
    </row>
    <row r="18" spans="1:8" ht="28.5" customHeight="1" x14ac:dyDescent="0.35">
      <c r="A18" t="s">
        <v>44</v>
      </c>
      <c r="B18" t="s">
        <v>45</v>
      </c>
      <c r="C18" s="7" t="s">
        <v>46</v>
      </c>
      <c r="D18" t="s">
        <v>47</v>
      </c>
      <c r="F18" t="s">
        <v>48</v>
      </c>
      <c r="G18" t="s">
        <v>49</v>
      </c>
      <c r="H18" s="7" t="s">
        <v>50</v>
      </c>
    </row>
    <row r="19" spans="1:8" x14ac:dyDescent="0.35">
      <c r="A19" t="s">
        <v>51</v>
      </c>
      <c r="B19" t="s">
        <v>52</v>
      </c>
      <c r="C19" s="7" t="s">
        <v>53</v>
      </c>
      <c r="D19" t="s">
        <v>54</v>
      </c>
      <c r="F19" t="s">
        <v>55</v>
      </c>
      <c r="G19" t="s">
        <v>56</v>
      </c>
      <c r="H19" s="7" t="s">
        <v>57</v>
      </c>
    </row>
    <row r="20" spans="1:8" ht="28.5" customHeight="1" x14ac:dyDescent="0.35">
      <c r="A20" t="s">
        <v>58</v>
      </c>
      <c r="B20" t="s">
        <v>59</v>
      </c>
      <c r="C20" s="7" t="s">
        <v>60</v>
      </c>
      <c r="D20" t="s">
        <v>54</v>
      </c>
      <c r="F20" t="s">
        <v>61</v>
      </c>
      <c r="G20" t="s">
        <v>62</v>
      </c>
      <c r="H20" s="7" t="s">
        <v>63</v>
      </c>
    </row>
    <row r="23" spans="1:8" x14ac:dyDescent="0.35">
      <c r="A23" s="2" t="s">
        <v>64</v>
      </c>
      <c r="B23" s="2"/>
      <c r="C23" s="2"/>
      <c r="E23" s="2"/>
      <c r="F23" s="2"/>
      <c r="G23" s="2"/>
      <c r="H23" s="2"/>
    </row>
    <row r="24" spans="1:8" ht="15" customHeight="1" x14ac:dyDescent="0.35">
      <c r="A24" s="8" t="s">
        <v>26</v>
      </c>
      <c r="B24" s="8" t="s">
        <v>65</v>
      </c>
      <c r="C24" s="8" t="s">
        <v>66</v>
      </c>
      <c r="E24" s="8" t="s">
        <v>67</v>
      </c>
      <c r="F24" s="3" t="s">
        <v>68</v>
      </c>
      <c r="G24" s="3"/>
      <c r="H24" s="3"/>
    </row>
    <row r="25" spans="1:8" x14ac:dyDescent="0.35">
      <c r="A25" t="s">
        <v>69</v>
      </c>
      <c r="B25" t="s">
        <v>70</v>
      </c>
      <c r="C25" s="7" t="s">
        <v>71</v>
      </c>
      <c r="E25" t="s">
        <v>72</v>
      </c>
      <c r="F25" s="2" t="s">
        <v>73</v>
      </c>
      <c r="G25" s="2"/>
      <c r="H25" s="2"/>
    </row>
    <row r="26" spans="1:8" x14ac:dyDescent="0.35">
      <c r="A26" t="s">
        <v>74</v>
      </c>
      <c r="B26" t="s">
        <v>75</v>
      </c>
      <c r="C26" s="7" t="s">
        <v>76</v>
      </c>
      <c r="E26" t="s">
        <v>29</v>
      </c>
      <c r="F26" s="2" t="s">
        <v>77</v>
      </c>
      <c r="G26" s="2"/>
      <c r="H26" s="2"/>
    </row>
    <row r="27" spans="1:8" ht="15" customHeight="1" x14ac:dyDescent="0.35">
      <c r="A27" t="s">
        <v>78</v>
      </c>
      <c r="B27" t="s">
        <v>79</v>
      </c>
      <c r="C27" s="7" t="s">
        <v>80</v>
      </c>
      <c r="E27" t="s">
        <v>81</v>
      </c>
      <c r="F27" s="4" t="s">
        <v>82</v>
      </c>
      <c r="G27" s="4"/>
      <c r="H27" s="4"/>
    </row>
    <row r="28" spans="1:8" x14ac:dyDescent="0.35">
      <c r="A28" t="s">
        <v>83</v>
      </c>
      <c r="B28" t="s">
        <v>84</v>
      </c>
      <c r="C28" s="7" t="s">
        <v>85</v>
      </c>
      <c r="E28" t="s">
        <v>86</v>
      </c>
      <c r="F28" s="2" t="s">
        <v>87</v>
      </c>
      <c r="G28" s="2"/>
      <c r="H28" s="2"/>
    </row>
    <row r="29" spans="1:8" x14ac:dyDescent="0.35">
      <c r="A29" t="s">
        <v>88</v>
      </c>
      <c r="B29" t="s">
        <v>89</v>
      </c>
      <c r="C29" s="7" t="s">
        <v>90</v>
      </c>
      <c r="E29" t="s">
        <v>91</v>
      </c>
      <c r="F29" s="2" t="s">
        <v>92</v>
      </c>
      <c r="G29" s="2"/>
      <c r="H29" s="2"/>
    </row>
    <row r="30" spans="1:8" x14ac:dyDescent="0.35">
      <c r="A30" t="s">
        <v>93</v>
      </c>
      <c r="B30" t="s">
        <v>94</v>
      </c>
      <c r="C30" s="7" t="s">
        <v>95</v>
      </c>
      <c r="E30" t="s">
        <v>96</v>
      </c>
      <c r="F30" s="2" t="s">
        <v>97</v>
      </c>
      <c r="G30" s="2"/>
      <c r="H30" s="2"/>
    </row>
    <row r="31" spans="1:8" x14ac:dyDescent="0.35">
      <c r="A31" t="s">
        <v>98</v>
      </c>
      <c r="B31" t="s">
        <v>99</v>
      </c>
      <c r="C31" s="7" t="s">
        <v>100</v>
      </c>
      <c r="E31" s="9"/>
      <c r="F31" s="9"/>
      <c r="G31" s="9"/>
      <c r="H31" s="9"/>
    </row>
    <row r="34" spans="1:8" ht="15" customHeight="1" x14ac:dyDescent="0.35">
      <c r="A34" s="4" t="s">
        <v>101</v>
      </c>
      <c r="B34" s="4"/>
      <c r="C34" s="4"/>
      <c r="D34" s="4"/>
      <c r="E34" s="4"/>
      <c r="F34" s="4"/>
      <c r="G34" s="4"/>
      <c r="H34" s="4"/>
    </row>
    <row r="35" spans="1:8" x14ac:dyDescent="0.35">
      <c r="A35" s="4"/>
      <c r="B35" s="4"/>
      <c r="C35" s="4"/>
      <c r="D35" s="4"/>
      <c r="E35" s="4"/>
      <c r="F35" s="4"/>
      <c r="G35" s="4"/>
      <c r="H35" s="4"/>
    </row>
    <row r="36" spans="1:8" x14ac:dyDescent="0.35">
      <c r="A36" s="4"/>
      <c r="B36" s="4"/>
      <c r="C36" s="4"/>
      <c r="D36" s="4"/>
      <c r="E36" s="4"/>
      <c r="F36" s="4"/>
      <c r="G36" s="4"/>
      <c r="H36" s="4"/>
    </row>
    <row r="38" spans="1:8" ht="14.25" customHeight="1" x14ac:dyDescent="0.35">
      <c r="A38" s="5" t="s">
        <v>102</v>
      </c>
      <c r="B38" s="5"/>
      <c r="C38" s="5"/>
      <c r="D38" s="5"/>
      <c r="E38" s="5"/>
      <c r="F38" s="5"/>
      <c r="G38" s="5"/>
      <c r="H38" s="5"/>
    </row>
    <row r="39" spans="1:8" x14ac:dyDescent="0.35">
      <c r="A39" s="5"/>
      <c r="B39" s="5"/>
      <c r="C39" s="5"/>
      <c r="D39" s="5"/>
      <c r="E39" s="5"/>
      <c r="F39" s="5"/>
      <c r="G39" s="5"/>
      <c r="H39" s="5"/>
    </row>
  </sheetData>
  <mergeCells count="23">
    <mergeCell ref="F30:H30"/>
    <mergeCell ref="A34:H36"/>
    <mergeCell ref="A38:H39"/>
    <mergeCell ref="F25:H25"/>
    <mergeCell ref="F26:H26"/>
    <mergeCell ref="F27:H27"/>
    <mergeCell ref="F28:H28"/>
    <mergeCell ref="F29:H29"/>
    <mergeCell ref="A14:D14"/>
    <mergeCell ref="F14:H14"/>
    <mergeCell ref="A23:C23"/>
    <mergeCell ref="E23:H23"/>
    <mergeCell ref="F24:H24"/>
    <mergeCell ref="E7:H7"/>
    <mergeCell ref="E8:H8"/>
    <mergeCell ref="E9:H9"/>
    <mergeCell ref="E10:H10"/>
    <mergeCell ref="E11:H11"/>
    <mergeCell ref="A1:H2"/>
    <mergeCell ref="A3:H3"/>
    <mergeCell ref="A5:B5"/>
    <mergeCell ref="D5:H5"/>
    <mergeCell ref="E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zoomScaleNormal="100" workbookViewId="0">
      <pane ySplit="5" topLeftCell="A9" activePane="bottomLeft" state="frozen"/>
      <selection pane="bottomLeft" sqref="A1:J2"/>
    </sheetView>
  </sheetViews>
  <sheetFormatPr defaultColWidth="8.6328125" defaultRowHeight="14.5" x14ac:dyDescent="0.35"/>
  <cols>
    <col min="1" max="1" width="17" customWidth="1"/>
    <col min="2" max="2" width="22" customWidth="1"/>
    <col min="3" max="3" width="11" customWidth="1"/>
    <col min="4" max="4" width="44" customWidth="1"/>
    <col min="5" max="6" width="52" customWidth="1"/>
    <col min="7" max="7" width="11" customWidth="1"/>
    <col min="8" max="8" width="12" customWidth="1"/>
    <col min="9" max="9" width="34" customWidth="1"/>
    <col min="10" max="10" width="40" customWidth="1"/>
  </cols>
  <sheetData>
    <row r="1" spans="1:10" x14ac:dyDescent="0.35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35">
      <c r="A3" s="4" t="s">
        <v>104</v>
      </c>
      <c r="B3" s="4"/>
      <c r="C3" s="4"/>
      <c r="D3" s="4"/>
      <c r="E3" s="4"/>
      <c r="F3" s="4"/>
      <c r="G3" s="4"/>
      <c r="H3" s="4"/>
      <c r="I3" s="4"/>
      <c r="J3" s="4"/>
    </row>
    <row r="5" spans="1:10" ht="42" customHeight="1" x14ac:dyDescent="0.35">
      <c r="A5" s="8" t="s">
        <v>105</v>
      </c>
      <c r="B5" s="8" t="s">
        <v>65</v>
      </c>
      <c r="C5" s="8" t="s">
        <v>106</v>
      </c>
      <c r="D5" s="8" t="s">
        <v>107</v>
      </c>
      <c r="E5" s="8" t="s">
        <v>108</v>
      </c>
      <c r="F5" s="8" t="s">
        <v>109</v>
      </c>
      <c r="G5" s="8" t="s">
        <v>110</v>
      </c>
      <c r="H5" s="8" t="s">
        <v>111</v>
      </c>
      <c r="I5" s="8" t="s">
        <v>112</v>
      </c>
      <c r="J5" s="8" t="s">
        <v>113</v>
      </c>
    </row>
    <row r="6" spans="1:10" ht="43.5" customHeight="1" x14ac:dyDescent="0.35">
      <c r="A6" t="s">
        <v>114</v>
      </c>
      <c r="B6" t="s">
        <v>70</v>
      </c>
      <c r="C6" s="10" t="s">
        <v>31</v>
      </c>
      <c r="D6" s="7" t="s">
        <v>115</v>
      </c>
      <c r="E6" s="7" t="s">
        <v>116</v>
      </c>
      <c r="F6" s="7" t="s">
        <v>117</v>
      </c>
      <c r="G6" s="10" t="s">
        <v>118</v>
      </c>
      <c r="H6" s="10" t="s">
        <v>118</v>
      </c>
      <c r="I6" s="7" t="s">
        <v>119</v>
      </c>
      <c r="J6" s="11" t="s">
        <v>120</v>
      </c>
    </row>
    <row r="7" spans="1:10" ht="43.5" customHeight="1" x14ac:dyDescent="0.35">
      <c r="A7" t="s">
        <v>114</v>
      </c>
      <c r="B7" t="s">
        <v>75</v>
      </c>
      <c r="C7" s="10" t="s">
        <v>31</v>
      </c>
      <c r="D7" s="7" t="s">
        <v>121</v>
      </c>
      <c r="E7" s="7" t="s">
        <v>122</v>
      </c>
      <c r="F7" s="7" t="s">
        <v>123</v>
      </c>
      <c r="G7" s="10" t="s">
        <v>118</v>
      </c>
      <c r="H7" s="10" t="s">
        <v>118</v>
      </c>
      <c r="I7" s="7" t="s">
        <v>119</v>
      </c>
      <c r="J7" s="11" t="s">
        <v>120</v>
      </c>
    </row>
    <row r="8" spans="1:10" ht="43.5" customHeight="1" x14ac:dyDescent="0.35">
      <c r="A8" t="s">
        <v>114</v>
      </c>
      <c r="B8" t="s">
        <v>79</v>
      </c>
      <c r="C8" s="10" t="s">
        <v>31</v>
      </c>
      <c r="D8" s="7" t="s">
        <v>124</v>
      </c>
      <c r="E8" s="7" t="s">
        <v>125</v>
      </c>
      <c r="F8" s="7" t="s">
        <v>126</v>
      </c>
      <c r="G8" s="10" t="s">
        <v>118</v>
      </c>
      <c r="H8" s="10" t="s">
        <v>118</v>
      </c>
      <c r="I8" s="7" t="s">
        <v>119</v>
      </c>
      <c r="J8" s="11" t="s">
        <v>120</v>
      </c>
    </row>
    <row r="9" spans="1:10" ht="43.5" customHeight="1" x14ac:dyDescent="0.35">
      <c r="A9" t="s">
        <v>114</v>
      </c>
      <c r="B9" t="s">
        <v>84</v>
      </c>
      <c r="C9" s="10" t="s">
        <v>31</v>
      </c>
      <c r="D9" s="7" t="s">
        <v>127</v>
      </c>
      <c r="E9" s="7" t="s">
        <v>128</v>
      </c>
      <c r="F9" s="7" t="s">
        <v>126</v>
      </c>
      <c r="G9" s="10" t="s">
        <v>118</v>
      </c>
      <c r="H9" s="10" t="s">
        <v>118</v>
      </c>
      <c r="I9" s="7" t="s">
        <v>119</v>
      </c>
      <c r="J9" s="11" t="s">
        <v>120</v>
      </c>
    </row>
    <row r="10" spans="1:10" ht="43.5" customHeight="1" x14ac:dyDescent="0.35">
      <c r="A10" t="s">
        <v>114</v>
      </c>
      <c r="B10" t="s">
        <v>89</v>
      </c>
      <c r="C10" s="10" t="s">
        <v>31</v>
      </c>
      <c r="D10" s="7" t="s">
        <v>129</v>
      </c>
      <c r="E10" s="7" t="s">
        <v>130</v>
      </c>
      <c r="F10" s="7" t="s">
        <v>131</v>
      </c>
      <c r="G10" s="10" t="s">
        <v>118</v>
      </c>
      <c r="H10" s="10" t="s">
        <v>118</v>
      </c>
      <c r="I10" s="7" t="s">
        <v>119</v>
      </c>
      <c r="J10" s="11" t="s">
        <v>120</v>
      </c>
    </row>
    <row r="11" spans="1:10" ht="43.5" customHeight="1" x14ac:dyDescent="0.35">
      <c r="A11" t="s">
        <v>114</v>
      </c>
      <c r="B11" t="s">
        <v>94</v>
      </c>
      <c r="C11" s="10" t="s">
        <v>38</v>
      </c>
      <c r="D11" s="7" t="s">
        <v>132</v>
      </c>
      <c r="E11" s="7" t="s">
        <v>133</v>
      </c>
      <c r="F11" s="7" t="s">
        <v>134</v>
      </c>
      <c r="G11" s="10" t="s">
        <v>118</v>
      </c>
      <c r="H11" s="10" t="s">
        <v>118</v>
      </c>
      <c r="I11" s="7" t="s">
        <v>119</v>
      </c>
      <c r="J11" s="11" t="s">
        <v>120</v>
      </c>
    </row>
    <row r="12" spans="1:10" ht="43.5" customHeight="1" x14ac:dyDescent="0.35">
      <c r="A12" t="s">
        <v>114</v>
      </c>
      <c r="B12" t="s">
        <v>99</v>
      </c>
      <c r="C12" s="10" t="s">
        <v>31</v>
      </c>
      <c r="D12" s="7" t="s">
        <v>135</v>
      </c>
      <c r="E12" s="7" t="s">
        <v>136</v>
      </c>
      <c r="F12" s="7" t="s">
        <v>123</v>
      </c>
      <c r="G12" s="10" t="s">
        <v>118</v>
      </c>
      <c r="H12" s="10" t="s">
        <v>118</v>
      </c>
      <c r="I12" s="7" t="s">
        <v>119</v>
      </c>
      <c r="J12" s="11" t="s">
        <v>120</v>
      </c>
    </row>
    <row r="13" spans="1:10" ht="28.5" customHeight="1" x14ac:dyDescent="0.35">
      <c r="A13" t="s">
        <v>137</v>
      </c>
      <c r="B13" t="s">
        <v>70</v>
      </c>
      <c r="C13" s="10" t="s">
        <v>31</v>
      </c>
      <c r="D13" s="7" t="s">
        <v>138</v>
      </c>
      <c r="E13" s="7" t="s">
        <v>139</v>
      </c>
      <c r="F13" t="s">
        <v>140</v>
      </c>
      <c r="G13" s="10" t="s">
        <v>118</v>
      </c>
      <c r="H13" s="10" t="s">
        <v>118</v>
      </c>
      <c r="I13" s="7" t="s">
        <v>141</v>
      </c>
      <c r="J13" s="12" t="s">
        <v>142</v>
      </c>
    </row>
    <row r="14" spans="1:10" ht="43.5" customHeight="1" x14ac:dyDescent="0.35">
      <c r="A14" t="s">
        <v>137</v>
      </c>
      <c r="B14" t="s">
        <v>75</v>
      </c>
      <c r="C14" s="10" t="s">
        <v>38</v>
      </c>
      <c r="D14" s="7" t="s">
        <v>143</v>
      </c>
      <c r="E14" s="7" t="s">
        <v>144</v>
      </c>
      <c r="F14" s="7" t="s">
        <v>145</v>
      </c>
      <c r="G14" s="10" t="s">
        <v>118</v>
      </c>
      <c r="H14" s="10" t="s">
        <v>118</v>
      </c>
      <c r="I14" s="7" t="s">
        <v>141</v>
      </c>
      <c r="J14" s="12" t="s">
        <v>142</v>
      </c>
    </row>
    <row r="15" spans="1:10" ht="28.5" customHeight="1" x14ac:dyDescent="0.35">
      <c r="A15" t="s">
        <v>137</v>
      </c>
      <c r="B15" t="s">
        <v>79</v>
      </c>
      <c r="C15" s="10" t="s">
        <v>44</v>
      </c>
      <c r="D15" s="7" t="s">
        <v>146</v>
      </c>
      <c r="E15" s="7" t="s">
        <v>147</v>
      </c>
      <c r="F15" s="7" t="s">
        <v>148</v>
      </c>
      <c r="G15" s="10" t="s">
        <v>149</v>
      </c>
      <c r="H15" s="10" t="s">
        <v>118</v>
      </c>
      <c r="I15" s="7" t="s">
        <v>141</v>
      </c>
      <c r="J15" s="12" t="s">
        <v>142</v>
      </c>
    </row>
    <row r="16" spans="1:10" ht="28.5" customHeight="1" x14ac:dyDescent="0.35">
      <c r="A16" t="s">
        <v>137</v>
      </c>
      <c r="B16" t="s">
        <v>84</v>
      </c>
      <c r="C16" s="10" t="s">
        <v>44</v>
      </c>
      <c r="D16" s="7" t="s">
        <v>146</v>
      </c>
      <c r="E16" s="7" t="s">
        <v>150</v>
      </c>
      <c r="F16" s="7" t="s">
        <v>151</v>
      </c>
      <c r="G16" s="10" t="s">
        <v>149</v>
      </c>
      <c r="H16" s="10" t="s">
        <v>118</v>
      </c>
      <c r="I16" s="7" t="s">
        <v>141</v>
      </c>
      <c r="J16" s="12" t="s">
        <v>142</v>
      </c>
    </row>
    <row r="17" spans="1:10" ht="28.5" customHeight="1" x14ac:dyDescent="0.35">
      <c r="A17" t="s">
        <v>137</v>
      </c>
      <c r="B17" t="s">
        <v>89</v>
      </c>
      <c r="C17" s="10" t="s">
        <v>44</v>
      </c>
      <c r="D17" s="7" t="s">
        <v>146</v>
      </c>
      <c r="E17" s="7" t="s">
        <v>152</v>
      </c>
      <c r="F17" s="7" t="s">
        <v>153</v>
      </c>
      <c r="G17" s="10" t="s">
        <v>149</v>
      </c>
      <c r="H17" s="10" t="s">
        <v>118</v>
      </c>
      <c r="I17" s="7" t="s">
        <v>141</v>
      </c>
      <c r="J17" s="12" t="s">
        <v>142</v>
      </c>
    </row>
    <row r="18" spans="1:10" ht="28.5" customHeight="1" x14ac:dyDescent="0.35">
      <c r="A18" t="s">
        <v>137</v>
      </c>
      <c r="B18" t="s">
        <v>94</v>
      </c>
      <c r="C18" s="10" t="s">
        <v>31</v>
      </c>
      <c r="D18" s="7" t="s">
        <v>154</v>
      </c>
      <c r="E18" s="7" t="s">
        <v>155</v>
      </c>
      <c r="F18" t="s">
        <v>156</v>
      </c>
      <c r="G18" s="10" t="s">
        <v>118</v>
      </c>
      <c r="H18" s="10" t="s">
        <v>118</v>
      </c>
      <c r="I18" s="7" t="s">
        <v>141</v>
      </c>
      <c r="J18" s="12" t="s">
        <v>142</v>
      </c>
    </row>
    <row r="19" spans="1:10" ht="43.5" customHeight="1" x14ac:dyDescent="0.35">
      <c r="A19" t="s">
        <v>137</v>
      </c>
      <c r="B19" t="s">
        <v>99</v>
      </c>
      <c r="C19" s="10" t="s">
        <v>31</v>
      </c>
      <c r="D19" s="7" t="s">
        <v>157</v>
      </c>
      <c r="E19" s="7" t="s">
        <v>158</v>
      </c>
      <c r="F19" s="7" t="s">
        <v>159</v>
      </c>
      <c r="G19" s="10" t="s">
        <v>118</v>
      </c>
      <c r="H19" s="10" t="s">
        <v>118</v>
      </c>
      <c r="I19" s="7" t="s">
        <v>141</v>
      </c>
      <c r="J19" s="12" t="s">
        <v>142</v>
      </c>
    </row>
    <row r="20" spans="1:10" ht="28.5" customHeight="1" x14ac:dyDescent="0.35">
      <c r="A20" t="s">
        <v>160</v>
      </c>
      <c r="B20" t="s">
        <v>70</v>
      </c>
      <c r="C20" s="10" t="s">
        <v>51</v>
      </c>
      <c r="D20" s="7" t="s">
        <v>161</v>
      </c>
      <c r="E20" s="7" t="s">
        <v>162</v>
      </c>
      <c r="F20" s="7" t="s">
        <v>163</v>
      </c>
      <c r="G20" s="10" t="s">
        <v>149</v>
      </c>
      <c r="H20" s="10" t="s">
        <v>149</v>
      </c>
      <c r="I20" s="7" t="s">
        <v>164</v>
      </c>
      <c r="J20" s="11" t="s">
        <v>165</v>
      </c>
    </row>
    <row r="21" spans="1:10" ht="43.5" customHeight="1" x14ac:dyDescent="0.35">
      <c r="A21" t="s">
        <v>160</v>
      </c>
      <c r="B21" t="s">
        <v>75</v>
      </c>
      <c r="C21" s="10" t="s">
        <v>38</v>
      </c>
      <c r="D21" s="7" t="s">
        <v>166</v>
      </c>
      <c r="E21" s="7" t="s">
        <v>167</v>
      </c>
      <c r="F21" s="7" t="s">
        <v>168</v>
      </c>
      <c r="G21" s="10" t="s">
        <v>118</v>
      </c>
      <c r="H21" s="10" t="s">
        <v>118</v>
      </c>
      <c r="I21" s="7" t="s">
        <v>164</v>
      </c>
      <c r="J21" s="11" t="s">
        <v>165</v>
      </c>
    </row>
    <row r="22" spans="1:10" ht="43.5" customHeight="1" x14ac:dyDescent="0.35">
      <c r="A22" t="s">
        <v>160</v>
      </c>
      <c r="B22" t="s">
        <v>79</v>
      </c>
      <c r="C22" s="10" t="s">
        <v>44</v>
      </c>
      <c r="D22" s="7" t="s">
        <v>169</v>
      </c>
      <c r="E22" s="7" t="s">
        <v>170</v>
      </c>
      <c r="F22" s="7" t="s">
        <v>171</v>
      </c>
      <c r="G22" s="10" t="s">
        <v>149</v>
      </c>
      <c r="H22" s="10" t="s">
        <v>118</v>
      </c>
      <c r="I22" s="7" t="s">
        <v>164</v>
      </c>
      <c r="J22" s="11" t="s">
        <v>165</v>
      </c>
    </row>
    <row r="23" spans="1:10" ht="28.5" customHeight="1" x14ac:dyDescent="0.35">
      <c r="A23" t="s">
        <v>160</v>
      </c>
      <c r="B23" t="s">
        <v>84</v>
      </c>
      <c r="C23" s="10" t="s">
        <v>44</v>
      </c>
      <c r="D23" s="7" t="s">
        <v>172</v>
      </c>
      <c r="E23" s="7" t="s">
        <v>173</v>
      </c>
      <c r="F23" t="s">
        <v>174</v>
      </c>
      <c r="G23" s="10" t="s">
        <v>149</v>
      </c>
      <c r="H23" s="10" t="s">
        <v>118</v>
      </c>
      <c r="I23" s="7" t="s">
        <v>164</v>
      </c>
      <c r="J23" s="11" t="s">
        <v>165</v>
      </c>
    </row>
    <row r="24" spans="1:10" ht="28.5" customHeight="1" x14ac:dyDescent="0.35">
      <c r="A24" t="s">
        <v>160</v>
      </c>
      <c r="B24" t="s">
        <v>89</v>
      </c>
      <c r="C24" s="10" t="s">
        <v>58</v>
      </c>
      <c r="D24" s="7" t="s">
        <v>175</v>
      </c>
      <c r="E24" s="7" t="s">
        <v>176</v>
      </c>
      <c r="F24" s="7" t="s">
        <v>177</v>
      </c>
      <c r="G24" s="10" t="s">
        <v>149</v>
      </c>
      <c r="H24" s="10" t="s">
        <v>149</v>
      </c>
      <c r="I24" s="7" t="s">
        <v>164</v>
      </c>
      <c r="J24" s="11" t="s">
        <v>165</v>
      </c>
    </row>
    <row r="25" spans="1:10" ht="28.5" customHeight="1" x14ac:dyDescent="0.35">
      <c r="A25" t="s">
        <v>160</v>
      </c>
      <c r="B25" t="s">
        <v>94</v>
      </c>
      <c r="C25" s="10" t="s">
        <v>58</v>
      </c>
      <c r="D25" s="7" t="s">
        <v>175</v>
      </c>
      <c r="E25" s="7" t="s">
        <v>178</v>
      </c>
      <c r="F25" s="7" t="s">
        <v>179</v>
      </c>
      <c r="G25" s="10" t="s">
        <v>149</v>
      </c>
      <c r="H25" s="10" t="s">
        <v>149</v>
      </c>
      <c r="I25" s="7" t="s">
        <v>164</v>
      </c>
      <c r="J25" s="11" t="s">
        <v>165</v>
      </c>
    </row>
    <row r="26" spans="1:10" ht="43.5" customHeight="1" x14ac:dyDescent="0.35">
      <c r="A26" t="s">
        <v>160</v>
      </c>
      <c r="B26" t="s">
        <v>99</v>
      </c>
      <c r="C26" s="10" t="s">
        <v>51</v>
      </c>
      <c r="D26" s="7" t="s">
        <v>180</v>
      </c>
      <c r="E26" s="7" t="s">
        <v>181</v>
      </c>
      <c r="F26" t="s">
        <v>182</v>
      </c>
      <c r="G26" s="10" t="s">
        <v>149</v>
      </c>
      <c r="H26" s="10" t="s">
        <v>149</v>
      </c>
      <c r="I26" s="7" t="s">
        <v>164</v>
      </c>
      <c r="J26" s="11" t="s">
        <v>165</v>
      </c>
    </row>
    <row r="27" spans="1:10" ht="43.5" customHeight="1" x14ac:dyDescent="0.35">
      <c r="A27" t="s">
        <v>183</v>
      </c>
      <c r="B27" t="s">
        <v>70</v>
      </c>
      <c r="C27" s="10" t="s">
        <v>38</v>
      </c>
      <c r="D27" s="7" t="s">
        <v>184</v>
      </c>
      <c r="E27" s="7" t="s">
        <v>185</v>
      </c>
      <c r="F27" s="7" t="s">
        <v>186</v>
      </c>
      <c r="G27" s="10" t="s">
        <v>118</v>
      </c>
      <c r="H27" s="10" t="s">
        <v>118</v>
      </c>
      <c r="I27" s="7" t="s">
        <v>187</v>
      </c>
      <c r="J27" s="12" t="s">
        <v>188</v>
      </c>
    </row>
    <row r="28" spans="1:10" ht="43.5" customHeight="1" x14ac:dyDescent="0.35">
      <c r="A28" t="s">
        <v>183</v>
      </c>
      <c r="B28" t="s">
        <v>75</v>
      </c>
      <c r="C28" s="10" t="s">
        <v>31</v>
      </c>
      <c r="D28" s="7" t="s">
        <v>189</v>
      </c>
      <c r="E28" s="7" t="s">
        <v>190</v>
      </c>
      <c r="F28" t="s">
        <v>191</v>
      </c>
      <c r="G28" s="10" t="s">
        <v>118</v>
      </c>
      <c r="H28" s="10" t="s">
        <v>118</v>
      </c>
      <c r="I28" s="7" t="s">
        <v>187</v>
      </c>
      <c r="J28" s="12" t="s">
        <v>188</v>
      </c>
    </row>
    <row r="29" spans="1:10" ht="43.5" customHeight="1" x14ac:dyDescent="0.35">
      <c r="A29" t="s">
        <v>183</v>
      </c>
      <c r="B29" t="s">
        <v>79</v>
      </c>
      <c r="C29" s="10" t="s">
        <v>44</v>
      </c>
      <c r="D29" s="7" t="s">
        <v>192</v>
      </c>
      <c r="E29" s="7" t="s">
        <v>193</v>
      </c>
      <c r="F29" s="7" t="s">
        <v>194</v>
      </c>
      <c r="G29" s="10" t="s">
        <v>149</v>
      </c>
      <c r="H29" s="10" t="s">
        <v>118</v>
      </c>
      <c r="I29" s="7" t="s">
        <v>187</v>
      </c>
      <c r="J29" s="12" t="s">
        <v>188</v>
      </c>
    </row>
    <row r="30" spans="1:10" ht="43.5" customHeight="1" x14ac:dyDescent="0.35">
      <c r="A30" t="s">
        <v>183</v>
      </c>
      <c r="B30" t="s">
        <v>84</v>
      </c>
      <c r="C30" s="10" t="s">
        <v>44</v>
      </c>
      <c r="D30" s="7" t="s">
        <v>195</v>
      </c>
      <c r="E30" s="7" t="s">
        <v>196</v>
      </c>
      <c r="F30" t="s">
        <v>197</v>
      </c>
      <c r="G30" s="10" t="s">
        <v>149</v>
      </c>
      <c r="H30" s="10" t="s">
        <v>118</v>
      </c>
      <c r="I30" s="7" t="s">
        <v>187</v>
      </c>
      <c r="J30" s="12" t="s">
        <v>188</v>
      </c>
    </row>
    <row r="31" spans="1:10" ht="28.5" customHeight="1" x14ac:dyDescent="0.35">
      <c r="A31" t="s">
        <v>183</v>
      </c>
      <c r="B31" t="s">
        <v>89</v>
      </c>
      <c r="C31" s="10" t="s">
        <v>31</v>
      </c>
      <c r="D31" s="7" t="s">
        <v>198</v>
      </c>
      <c r="E31" s="7" t="s">
        <v>199</v>
      </c>
      <c r="F31" s="7" t="s">
        <v>200</v>
      </c>
      <c r="G31" s="10" t="s">
        <v>118</v>
      </c>
      <c r="H31" s="10" t="s">
        <v>118</v>
      </c>
      <c r="I31" s="7" t="s">
        <v>187</v>
      </c>
      <c r="J31" s="12" t="s">
        <v>188</v>
      </c>
    </row>
    <row r="32" spans="1:10" ht="43.5" customHeight="1" x14ac:dyDescent="0.35">
      <c r="A32" t="s">
        <v>183</v>
      </c>
      <c r="B32" t="s">
        <v>94</v>
      </c>
      <c r="C32" s="10" t="s">
        <v>38</v>
      </c>
      <c r="D32" s="7" t="s">
        <v>201</v>
      </c>
      <c r="E32" s="7" t="s">
        <v>202</v>
      </c>
      <c r="F32" s="7" t="s">
        <v>203</v>
      </c>
      <c r="G32" s="10" t="s">
        <v>118</v>
      </c>
      <c r="H32" s="10" t="s">
        <v>118</v>
      </c>
      <c r="I32" s="7" t="s">
        <v>187</v>
      </c>
      <c r="J32" s="12" t="s">
        <v>188</v>
      </c>
    </row>
    <row r="33" spans="1:10" ht="43.5" customHeight="1" x14ac:dyDescent="0.35">
      <c r="A33" t="s">
        <v>183</v>
      </c>
      <c r="B33" t="s">
        <v>99</v>
      </c>
      <c r="C33" s="10" t="s">
        <v>38</v>
      </c>
      <c r="D33" s="7" t="s">
        <v>204</v>
      </c>
      <c r="E33" s="7" t="s">
        <v>205</v>
      </c>
      <c r="F33" s="7" t="s">
        <v>206</v>
      </c>
      <c r="G33" s="10" t="s">
        <v>118</v>
      </c>
      <c r="H33" s="10" t="s">
        <v>118</v>
      </c>
      <c r="I33" s="7" t="s">
        <v>187</v>
      </c>
      <c r="J33" s="12" t="s">
        <v>188</v>
      </c>
    </row>
    <row r="34" spans="1:10" ht="43.5" customHeight="1" x14ac:dyDescent="0.35">
      <c r="A34" t="s">
        <v>207</v>
      </c>
      <c r="B34" t="s">
        <v>70</v>
      </c>
      <c r="C34" s="10" t="s">
        <v>31</v>
      </c>
      <c r="D34" s="7" t="s">
        <v>208</v>
      </c>
      <c r="E34" s="7" t="s">
        <v>209</v>
      </c>
      <c r="F34" s="7" t="s">
        <v>210</v>
      </c>
      <c r="G34" s="10" t="s">
        <v>118</v>
      </c>
      <c r="H34" s="10" t="s">
        <v>118</v>
      </c>
      <c r="I34" s="7" t="s">
        <v>211</v>
      </c>
      <c r="J34" s="12" t="s">
        <v>212</v>
      </c>
    </row>
    <row r="35" spans="1:10" ht="28.5" customHeight="1" x14ac:dyDescent="0.35">
      <c r="A35" t="s">
        <v>207</v>
      </c>
      <c r="B35" t="s">
        <v>75</v>
      </c>
      <c r="C35" s="10" t="s">
        <v>38</v>
      </c>
      <c r="D35" s="7" t="s">
        <v>213</v>
      </c>
      <c r="E35" s="7" t="s">
        <v>214</v>
      </c>
      <c r="F35" s="7" t="s">
        <v>215</v>
      </c>
      <c r="G35" s="10" t="s">
        <v>118</v>
      </c>
      <c r="H35" s="10" t="s">
        <v>118</v>
      </c>
      <c r="I35" s="7" t="s">
        <v>211</v>
      </c>
      <c r="J35" s="12" t="s">
        <v>212</v>
      </c>
    </row>
    <row r="36" spans="1:10" ht="28.5" customHeight="1" x14ac:dyDescent="0.35">
      <c r="A36" t="s">
        <v>207</v>
      </c>
      <c r="B36" t="s">
        <v>79</v>
      </c>
      <c r="C36" s="10" t="s">
        <v>44</v>
      </c>
      <c r="D36" s="7" t="s">
        <v>216</v>
      </c>
      <c r="E36" s="7" t="s">
        <v>217</v>
      </c>
      <c r="F36" t="s">
        <v>218</v>
      </c>
      <c r="G36" s="10" t="s">
        <v>149</v>
      </c>
      <c r="H36" s="10" t="s">
        <v>118</v>
      </c>
      <c r="I36" s="7" t="s">
        <v>211</v>
      </c>
      <c r="J36" s="12" t="s">
        <v>212</v>
      </c>
    </row>
    <row r="37" spans="1:10" ht="43.5" customHeight="1" x14ac:dyDescent="0.35">
      <c r="A37" t="s">
        <v>207</v>
      </c>
      <c r="B37" t="s">
        <v>84</v>
      </c>
      <c r="C37" s="10" t="s">
        <v>44</v>
      </c>
      <c r="D37" s="7" t="s">
        <v>219</v>
      </c>
      <c r="E37" s="7" t="s">
        <v>220</v>
      </c>
      <c r="F37" s="7" t="s">
        <v>221</v>
      </c>
      <c r="G37" s="10" t="s">
        <v>149</v>
      </c>
      <c r="H37" s="10" t="s">
        <v>118</v>
      </c>
      <c r="I37" s="7" t="s">
        <v>211</v>
      </c>
      <c r="J37" s="12" t="s">
        <v>212</v>
      </c>
    </row>
    <row r="38" spans="1:10" ht="28.5" customHeight="1" x14ac:dyDescent="0.35">
      <c r="A38" t="s">
        <v>207</v>
      </c>
      <c r="B38" t="s">
        <v>89</v>
      </c>
      <c r="C38" s="10" t="s">
        <v>31</v>
      </c>
      <c r="D38" s="7" t="s">
        <v>222</v>
      </c>
      <c r="E38" s="7" t="s">
        <v>223</v>
      </c>
      <c r="F38" t="s">
        <v>224</v>
      </c>
      <c r="G38" s="10" t="s">
        <v>118</v>
      </c>
      <c r="H38" s="10" t="s">
        <v>118</v>
      </c>
      <c r="I38" s="7" t="s">
        <v>211</v>
      </c>
      <c r="J38" s="12" t="s">
        <v>212</v>
      </c>
    </row>
    <row r="39" spans="1:10" ht="28.5" customHeight="1" x14ac:dyDescent="0.35">
      <c r="A39" t="s">
        <v>207</v>
      </c>
      <c r="B39" t="s">
        <v>94</v>
      </c>
      <c r="C39" s="10" t="s">
        <v>31</v>
      </c>
      <c r="D39" s="7" t="s">
        <v>225</v>
      </c>
      <c r="E39" s="7" t="s">
        <v>226</v>
      </c>
      <c r="F39" t="s">
        <v>156</v>
      </c>
      <c r="G39" s="10" t="s">
        <v>118</v>
      </c>
      <c r="H39" s="10" t="s">
        <v>118</v>
      </c>
      <c r="I39" s="7" t="s">
        <v>211</v>
      </c>
      <c r="J39" s="12" t="s">
        <v>212</v>
      </c>
    </row>
    <row r="40" spans="1:10" ht="28.5" customHeight="1" x14ac:dyDescent="0.35">
      <c r="A40" t="s">
        <v>207</v>
      </c>
      <c r="B40" t="s">
        <v>99</v>
      </c>
      <c r="C40" s="10" t="s">
        <v>31</v>
      </c>
      <c r="D40" s="7" t="s">
        <v>227</v>
      </c>
      <c r="E40" s="7" t="s">
        <v>228</v>
      </c>
      <c r="F40" t="s">
        <v>156</v>
      </c>
      <c r="G40" s="10" t="s">
        <v>118</v>
      </c>
      <c r="H40" s="10" t="s">
        <v>118</v>
      </c>
      <c r="I40" s="7" t="s">
        <v>211</v>
      </c>
      <c r="J40" s="12" t="s">
        <v>212</v>
      </c>
    </row>
    <row r="41" spans="1:10" ht="109.5" customHeight="1" x14ac:dyDescent="0.35">
      <c r="A41" s="13" t="s">
        <v>229</v>
      </c>
      <c r="B41" s="13" t="s">
        <v>70</v>
      </c>
      <c r="C41" s="14" t="s">
        <v>44</v>
      </c>
      <c r="D41" s="15" t="s">
        <v>230</v>
      </c>
      <c r="E41" s="15" t="s">
        <v>231</v>
      </c>
      <c r="F41" s="15" t="s">
        <v>232</v>
      </c>
      <c r="G41" s="14" t="s">
        <v>149</v>
      </c>
      <c r="H41" s="14" t="s">
        <v>118</v>
      </c>
      <c r="I41" s="15" t="s">
        <v>233</v>
      </c>
      <c r="J41" s="16" t="s">
        <v>234</v>
      </c>
    </row>
    <row r="42" spans="1:10" ht="55.5" customHeight="1" x14ac:dyDescent="0.35">
      <c r="A42" t="s">
        <v>229</v>
      </c>
      <c r="B42" t="s">
        <v>75</v>
      </c>
      <c r="C42" s="10" t="s">
        <v>31</v>
      </c>
      <c r="D42" s="7" t="s">
        <v>235</v>
      </c>
      <c r="E42" s="7" t="s">
        <v>236</v>
      </c>
      <c r="F42" s="7" t="s">
        <v>237</v>
      </c>
      <c r="G42" s="10" t="s">
        <v>118</v>
      </c>
      <c r="H42" s="10" t="s">
        <v>118</v>
      </c>
      <c r="I42" s="7" t="s">
        <v>233</v>
      </c>
      <c r="J42" s="11" t="s">
        <v>234</v>
      </c>
    </row>
    <row r="43" spans="1:10" ht="55.5" customHeight="1" x14ac:dyDescent="0.35">
      <c r="A43" t="s">
        <v>229</v>
      </c>
      <c r="B43" t="s">
        <v>79</v>
      </c>
      <c r="C43" s="10" t="s">
        <v>51</v>
      </c>
      <c r="D43" s="7" t="s">
        <v>238</v>
      </c>
      <c r="E43" s="7" t="s">
        <v>239</v>
      </c>
      <c r="F43" t="s">
        <v>182</v>
      </c>
      <c r="G43" s="10" t="s">
        <v>149</v>
      </c>
      <c r="H43" s="10" t="s">
        <v>149</v>
      </c>
      <c r="I43" s="7" t="s">
        <v>233</v>
      </c>
      <c r="J43" s="11" t="s">
        <v>234</v>
      </c>
    </row>
    <row r="44" spans="1:10" ht="55.5" customHeight="1" x14ac:dyDescent="0.35">
      <c r="A44" t="s">
        <v>229</v>
      </c>
      <c r="B44" t="s">
        <v>84</v>
      </c>
      <c r="C44" s="10" t="s">
        <v>51</v>
      </c>
      <c r="D44" s="7" t="s">
        <v>240</v>
      </c>
      <c r="E44" s="7" t="s">
        <v>241</v>
      </c>
      <c r="F44" t="s">
        <v>182</v>
      </c>
      <c r="G44" s="10" t="s">
        <v>149</v>
      </c>
      <c r="H44" s="10" t="s">
        <v>149</v>
      </c>
      <c r="I44" s="7" t="s">
        <v>233</v>
      </c>
      <c r="J44" s="11" t="s">
        <v>234</v>
      </c>
    </row>
    <row r="45" spans="1:10" ht="55.5" customHeight="1" x14ac:dyDescent="0.35">
      <c r="A45" t="s">
        <v>229</v>
      </c>
      <c r="B45" t="s">
        <v>89</v>
      </c>
      <c r="C45" s="10" t="s">
        <v>38</v>
      </c>
      <c r="D45" s="7" t="s">
        <v>242</v>
      </c>
      <c r="E45" s="7" t="s">
        <v>243</v>
      </c>
      <c r="F45" s="7" t="s">
        <v>244</v>
      </c>
      <c r="G45" s="10" t="s">
        <v>118</v>
      </c>
      <c r="H45" s="10" t="s">
        <v>118</v>
      </c>
      <c r="I45" s="7" t="s">
        <v>233</v>
      </c>
      <c r="J45" s="11" t="s">
        <v>234</v>
      </c>
    </row>
    <row r="46" spans="1:10" ht="55.5" customHeight="1" x14ac:dyDescent="0.35">
      <c r="A46" t="s">
        <v>229</v>
      </c>
      <c r="B46" t="s">
        <v>94</v>
      </c>
      <c r="C46" s="10" t="s">
        <v>58</v>
      </c>
      <c r="D46" s="7" t="s">
        <v>175</v>
      </c>
      <c r="E46" s="7" t="s">
        <v>245</v>
      </c>
      <c r="F46" s="7" t="s">
        <v>246</v>
      </c>
      <c r="G46" s="10" t="s">
        <v>149</v>
      </c>
      <c r="H46" s="10" t="s">
        <v>149</v>
      </c>
      <c r="I46" s="7" t="s">
        <v>233</v>
      </c>
      <c r="J46" s="11" t="s">
        <v>234</v>
      </c>
    </row>
    <row r="47" spans="1:10" ht="55.5" customHeight="1" x14ac:dyDescent="0.35">
      <c r="A47" t="s">
        <v>229</v>
      </c>
      <c r="B47" t="s">
        <v>99</v>
      </c>
      <c r="C47" s="10" t="s">
        <v>31</v>
      </c>
      <c r="D47" s="7" t="s">
        <v>247</v>
      </c>
      <c r="E47" s="7" t="s">
        <v>248</v>
      </c>
      <c r="F47" s="7" t="s">
        <v>237</v>
      </c>
      <c r="G47" s="10" t="s">
        <v>118</v>
      </c>
      <c r="H47" s="10" t="s">
        <v>118</v>
      </c>
      <c r="I47" s="7" t="s">
        <v>233</v>
      </c>
      <c r="J47" s="11" t="s">
        <v>234</v>
      </c>
    </row>
  </sheetData>
  <autoFilter ref="A5:J47" xr:uid="{00000000-0009-0000-0000-000001000000}"/>
  <mergeCells count="2">
    <mergeCell ref="A1:J2"/>
    <mergeCell ref="A3:J3"/>
  </mergeCells>
  <hyperlinks>
    <hyperlink ref="J6" r:id="rId1" xr:uid="{00000000-0004-0000-0100-000000000000}"/>
    <hyperlink ref="J7" r:id="rId2" xr:uid="{00000000-0004-0000-0100-000001000000}"/>
    <hyperlink ref="J8" r:id="rId3" xr:uid="{00000000-0004-0000-0100-000002000000}"/>
    <hyperlink ref="J9" r:id="rId4" xr:uid="{00000000-0004-0000-0100-000003000000}"/>
    <hyperlink ref="J10" r:id="rId5" xr:uid="{00000000-0004-0000-0100-000004000000}"/>
    <hyperlink ref="J11" r:id="rId6" xr:uid="{00000000-0004-0000-0100-000005000000}"/>
    <hyperlink ref="J12" r:id="rId7" xr:uid="{00000000-0004-0000-0100-000006000000}"/>
    <hyperlink ref="J13" r:id="rId8" xr:uid="{00000000-0004-0000-0100-000007000000}"/>
    <hyperlink ref="J14" r:id="rId9" xr:uid="{00000000-0004-0000-0100-000008000000}"/>
    <hyperlink ref="J15" r:id="rId10" xr:uid="{00000000-0004-0000-0100-000009000000}"/>
    <hyperlink ref="J16" r:id="rId11" xr:uid="{00000000-0004-0000-0100-00000A000000}"/>
    <hyperlink ref="J17" r:id="rId12" xr:uid="{00000000-0004-0000-0100-00000B000000}"/>
    <hyperlink ref="J18" r:id="rId13" xr:uid="{00000000-0004-0000-0100-00000C000000}"/>
    <hyperlink ref="J19" r:id="rId14" xr:uid="{00000000-0004-0000-0100-00000D000000}"/>
    <hyperlink ref="J20" r:id="rId15" xr:uid="{00000000-0004-0000-0100-00000E000000}"/>
    <hyperlink ref="J21" r:id="rId16" xr:uid="{00000000-0004-0000-0100-00000F000000}"/>
    <hyperlink ref="J22" r:id="rId17" xr:uid="{00000000-0004-0000-0100-000010000000}"/>
    <hyperlink ref="J23" r:id="rId18" xr:uid="{00000000-0004-0000-0100-000011000000}"/>
    <hyperlink ref="J24" r:id="rId19" xr:uid="{00000000-0004-0000-0100-000012000000}"/>
    <hyperlink ref="J25" r:id="rId20" xr:uid="{00000000-0004-0000-0100-000013000000}"/>
    <hyperlink ref="J26" r:id="rId21" xr:uid="{00000000-0004-0000-0100-000014000000}"/>
    <hyperlink ref="J27" r:id="rId22" xr:uid="{00000000-0004-0000-0100-000015000000}"/>
    <hyperlink ref="J28" r:id="rId23" xr:uid="{00000000-0004-0000-0100-000016000000}"/>
    <hyperlink ref="J29" r:id="rId24" xr:uid="{00000000-0004-0000-0100-000017000000}"/>
    <hyperlink ref="J30" r:id="rId25" xr:uid="{00000000-0004-0000-0100-000018000000}"/>
    <hyperlink ref="J31" r:id="rId26" xr:uid="{00000000-0004-0000-0100-000019000000}"/>
    <hyperlink ref="J32" r:id="rId27" xr:uid="{00000000-0004-0000-0100-00001A000000}"/>
    <hyperlink ref="J33" r:id="rId28" xr:uid="{00000000-0004-0000-0100-00001B000000}"/>
    <hyperlink ref="J34" r:id="rId29" xr:uid="{00000000-0004-0000-0100-00001C000000}"/>
    <hyperlink ref="J35" r:id="rId30" xr:uid="{00000000-0004-0000-0100-00001D000000}"/>
    <hyperlink ref="J36" r:id="rId31" xr:uid="{00000000-0004-0000-0100-00001E000000}"/>
    <hyperlink ref="J37" r:id="rId32" xr:uid="{00000000-0004-0000-0100-00001F000000}"/>
    <hyperlink ref="J38" r:id="rId33" xr:uid="{00000000-0004-0000-0100-000020000000}"/>
    <hyperlink ref="J39" r:id="rId34" xr:uid="{00000000-0004-0000-0100-000021000000}"/>
    <hyperlink ref="J40" r:id="rId35" xr:uid="{00000000-0004-0000-0100-000022000000}"/>
    <hyperlink ref="J41" r:id="rId36" xr:uid="{00000000-0004-0000-0100-000023000000}"/>
    <hyperlink ref="J42" r:id="rId37" xr:uid="{00000000-0004-0000-0100-000024000000}"/>
    <hyperlink ref="J43" r:id="rId38" xr:uid="{00000000-0004-0000-0100-000025000000}"/>
    <hyperlink ref="J44" r:id="rId39" xr:uid="{00000000-0004-0000-0100-000026000000}"/>
    <hyperlink ref="J45" r:id="rId40" xr:uid="{00000000-0004-0000-0100-000027000000}"/>
    <hyperlink ref="J46" r:id="rId41" xr:uid="{00000000-0004-0000-0100-000028000000}"/>
    <hyperlink ref="J47" r:id="rId42" xr:uid="{00000000-0004-0000-0100-00002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pane ySplit="4" topLeftCell="A5" activePane="bottomLeft" state="frozen"/>
      <selection pane="bottomLeft" sqref="A1:H2"/>
    </sheetView>
  </sheetViews>
  <sheetFormatPr defaultColWidth="8.6328125" defaultRowHeight="14.5" x14ac:dyDescent="0.35"/>
  <cols>
    <col min="1" max="1" width="26" customWidth="1"/>
    <col min="2" max="2" width="11" customWidth="1"/>
    <col min="3" max="4" width="12" customWidth="1"/>
    <col min="5" max="5" width="11" customWidth="1"/>
    <col min="6" max="7" width="13" customWidth="1"/>
    <col min="8" max="8" width="60" customWidth="1"/>
  </cols>
  <sheetData>
    <row r="1" spans="1:8" x14ac:dyDescent="0.35">
      <c r="A1" s="6" t="s">
        <v>249</v>
      </c>
      <c r="B1" s="6"/>
      <c r="C1" s="6"/>
      <c r="D1" s="6"/>
      <c r="E1" s="6"/>
      <c r="F1" s="6"/>
      <c r="G1" s="6"/>
      <c r="H1" s="6"/>
    </row>
    <row r="2" spans="1:8" x14ac:dyDescent="0.35">
      <c r="A2" s="6"/>
      <c r="B2" s="6"/>
      <c r="C2" s="6"/>
      <c r="D2" s="6"/>
      <c r="E2" s="6"/>
      <c r="F2" s="6"/>
      <c r="G2" s="6"/>
      <c r="H2" s="6"/>
    </row>
    <row r="4" spans="1:8" ht="42" customHeight="1" x14ac:dyDescent="0.35">
      <c r="A4" s="8" t="s">
        <v>65</v>
      </c>
      <c r="B4" s="8" t="s">
        <v>114</v>
      </c>
      <c r="C4" s="8" t="s">
        <v>137</v>
      </c>
      <c r="D4" s="8" t="s">
        <v>160</v>
      </c>
      <c r="E4" s="8" t="s">
        <v>183</v>
      </c>
      <c r="F4" s="8" t="s">
        <v>207</v>
      </c>
      <c r="G4" s="8" t="s">
        <v>229</v>
      </c>
      <c r="H4" s="8" t="s">
        <v>250</v>
      </c>
    </row>
    <row r="5" spans="1:8" ht="43.5" customHeight="1" x14ac:dyDescent="0.35">
      <c r="A5" t="s">
        <v>70</v>
      </c>
      <c r="B5" s="10" t="s">
        <v>31</v>
      </c>
      <c r="C5" s="10" t="s">
        <v>31</v>
      </c>
      <c r="D5" s="10" t="s">
        <v>51</v>
      </c>
      <c r="E5" s="10" t="s">
        <v>38</v>
      </c>
      <c r="F5" s="10" t="s">
        <v>31</v>
      </c>
      <c r="G5" s="10" t="s">
        <v>44</v>
      </c>
      <c r="H5" s="7" t="s">
        <v>251</v>
      </c>
    </row>
    <row r="6" spans="1:8" ht="28.5" customHeight="1" x14ac:dyDescent="0.35">
      <c r="A6" t="s">
        <v>75</v>
      </c>
      <c r="B6" s="10" t="s">
        <v>31</v>
      </c>
      <c r="C6" s="10" t="s">
        <v>38</v>
      </c>
      <c r="D6" s="10" t="s">
        <v>38</v>
      </c>
      <c r="E6" s="10" t="s">
        <v>31</v>
      </c>
      <c r="F6" s="10" t="s">
        <v>38</v>
      </c>
      <c r="G6" s="10" t="s">
        <v>31</v>
      </c>
      <c r="H6" s="7" t="s">
        <v>252</v>
      </c>
    </row>
    <row r="7" spans="1:8" ht="28.5" customHeight="1" x14ac:dyDescent="0.35">
      <c r="A7" t="s">
        <v>79</v>
      </c>
      <c r="B7" s="10" t="s">
        <v>31</v>
      </c>
      <c r="C7" s="10" t="s">
        <v>44</v>
      </c>
      <c r="D7" s="10" t="s">
        <v>44</v>
      </c>
      <c r="E7" s="10" t="s">
        <v>44</v>
      </c>
      <c r="F7" s="10" t="s">
        <v>44</v>
      </c>
      <c r="G7" s="10" t="s">
        <v>51</v>
      </c>
      <c r="H7" s="7" t="s">
        <v>253</v>
      </c>
    </row>
    <row r="8" spans="1:8" ht="28.5" customHeight="1" x14ac:dyDescent="0.35">
      <c r="A8" t="s">
        <v>84</v>
      </c>
      <c r="B8" s="10" t="s">
        <v>31</v>
      </c>
      <c r="C8" s="10" t="s">
        <v>44</v>
      </c>
      <c r="D8" s="10" t="s">
        <v>44</v>
      </c>
      <c r="E8" s="10" t="s">
        <v>44</v>
      </c>
      <c r="F8" s="10" t="s">
        <v>44</v>
      </c>
      <c r="G8" s="10" t="s">
        <v>51</v>
      </c>
      <c r="H8" s="7" t="s">
        <v>253</v>
      </c>
    </row>
    <row r="9" spans="1:8" ht="28.5" customHeight="1" x14ac:dyDescent="0.35">
      <c r="A9" t="s">
        <v>89</v>
      </c>
      <c r="B9" s="10" t="s">
        <v>31</v>
      </c>
      <c r="C9" s="10" t="s">
        <v>44</v>
      </c>
      <c r="D9" s="10" t="s">
        <v>58</v>
      </c>
      <c r="E9" s="10" t="s">
        <v>31</v>
      </c>
      <c r="F9" s="10" t="s">
        <v>31</v>
      </c>
      <c r="G9" s="10" t="s">
        <v>38</v>
      </c>
      <c r="H9" s="7" t="s">
        <v>254</v>
      </c>
    </row>
    <row r="10" spans="1:8" x14ac:dyDescent="0.35">
      <c r="A10" t="s">
        <v>94</v>
      </c>
      <c r="B10" s="10" t="s">
        <v>38</v>
      </c>
      <c r="C10" s="10" t="s">
        <v>31</v>
      </c>
      <c r="D10" s="10" t="s">
        <v>58</v>
      </c>
      <c r="E10" s="10" t="s">
        <v>38</v>
      </c>
      <c r="F10" s="10" t="s">
        <v>31</v>
      </c>
      <c r="G10" s="10" t="s">
        <v>58</v>
      </c>
      <c r="H10" s="7" t="s">
        <v>255</v>
      </c>
    </row>
    <row r="11" spans="1:8" ht="28.5" customHeight="1" x14ac:dyDescent="0.35">
      <c r="A11" t="s">
        <v>99</v>
      </c>
      <c r="B11" s="10" t="s">
        <v>31</v>
      </c>
      <c r="C11" s="10" t="s">
        <v>31</v>
      </c>
      <c r="D11" s="10" t="s">
        <v>51</v>
      </c>
      <c r="E11" s="10" t="s">
        <v>38</v>
      </c>
      <c r="F11" s="10" t="s">
        <v>31</v>
      </c>
      <c r="G11" s="10" t="s">
        <v>31</v>
      </c>
      <c r="H11" s="7" t="s">
        <v>256</v>
      </c>
    </row>
    <row r="14" spans="1:8" ht="15" customHeight="1" x14ac:dyDescent="0.35">
      <c r="A14" s="4" t="s">
        <v>257</v>
      </c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</sheetData>
  <mergeCells count="2">
    <mergeCell ref="A1:H2"/>
    <mergeCell ref="A14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zoomScaleNormal="100" workbookViewId="0">
      <selection sqref="A1:I2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2" customWidth="1"/>
    <col min="4" max="4" width="13" customWidth="1"/>
    <col min="5" max="5" width="11" customWidth="1"/>
    <col min="6" max="6" width="13" customWidth="1"/>
    <col min="7" max="7" width="3" customWidth="1"/>
    <col min="8" max="8" width="26" customWidth="1"/>
    <col min="9" max="9" width="16" customWidth="1"/>
  </cols>
  <sheetData>
    <row r="1" spans="1:9" x14ac:dyDescent="0.35">
      <c r="A1" s="6" t="s">
        <v>258</v>
      </c>
      <c r="B1" s="6"/>
      <c r="C1" s="6"/>
      <c r="D1" s="6"/>
      <c r="E1" s="6"/>
      <c r="F1" s="6"/>
      <c r="G1" s="6"/>
      <c r="H1" s="6"/>
      <c r="I1" s="6"/>
    </row>
    <row r="2" spans="1:9" x14ac:dyDescent="0.35">
      <c r="A2" s="6"/>
      <c r="B2" s="6"/>
      <c r="C2" s="6"/>
      <c r="D2" s="6"/>
      <c r="E2" s="6"/>
      <c r="F2" s="6"/>
      <c r="G2" s="6"/>
      <c r="H2" s="6"/>
      <c r="I2" s="6"/>
    </row>
    <row r="3" spans="1:9" ht="15" customHeight="1" x14ac:dyDescent="0.35">
      <c r="A3" s="4" t="s">
        <v>259</v>
      </c>
      <c r="B3" s="4"/>
      <c r="C3" s="4"/>
      <c r="D3" s="4"/>
      <c r="E3" s="4"/>
      <c r="F3" s="4"/>
      <c r="G3" s="4"/>
      <c r="H3" s="4"/>
      <c r="I3" s="4"/>
    </row>
    <row r="5" spans="1:9" ht="28.5" customHeight="1" x14ac:dyDescent="0.35">
      <c r="A5" s="8" t="s">
        <v>105</v>
      </c>
      <c r="B5" s="8" t="s">
        <v>260</v>
      </c>
      <c r="C5" s="8" t="s">
        <v>261</v>
      </c>
      <c r="D5" s="8" t="s">
        <v>262</v>
      </c>
      <c r="E5" s="8" t="s">
        <v>263</v>
      </c>
      <c r="F5" s="8" t="s">
        <v>264</v>
      </c>
      <c r="H5" s="8" t="s">
        <v>265</v>
      </c>
      <c r="I5" s="8" t="s">
        <v>266</v>
      </c>
    </row>
    <row r="6" spans="1:9" x14ac:dyDescent="0.35">
      <c r="A6" t="s">
        <v>114</v>
      </c>
      <c r="B6" s="7">
        <f>COUNTIFS('Full Register'!$A$6:$A$47,$A6,'Full Register'!$C$6:$C$47,"R1")+COUNTIFS('Full Register'!$A$6:$A$47,$A6,'Full Register'!$C$6:$C$47,"R2")</f>
        <v>7</v>
      </c>
      <c r="C6" s="17">
        <f t="shared" ref="C6:C11" si="0">B6/7</f>
        <v>1</v>
      </c>
      <c r="D6" s="7">
        <f>B6+COUNTIFS('Full Register'!$A$6:$A$47,$A6,'Full Register'!$C$6:$C$47,"R3")</f>
        <v>7</v>
      </c>
      <c r="E6" s="17">
        <f t="shared" ref="E6:E11" si="1">D6/7</f>
        <v>1</v>
      </c>
      <c r="F6" s="18">
        <f t="shared" ref="F6:F11" si="2">(E6-C6)*100</f>
        <v>0</v>
      </c>
      <c r="H6" t="s">
        <v>31</v>
      </c>
      <c r="I6">
        <f>COUNTIF('Full Register'!$C$6:$C$47,H6)</f>
        <v>17</v>
      </c>
    </row>
    <row r="7" spans="1:9" x14ac:dyDescent="0.35">
      <c r="A7" t="s">
        <v>137</v>
      </c>
      <c r="B7" s="7">
        <f>COUNTIFS('Full Register'!$A$6:$A$47,$A7,'Full Register'!$C$6:$C$47,"R1")+COUNTIFS('Full Register'!$A$6:$A$47,$A7,'Full Register'!$C$6:$C$47,"R2")</f>
        <v>4</v>
      </c>
      <c r="C7" s="17">
        <f t="shared" si="0"/>
        <v>0.5714285714285714</v>
      </c>
      <c r="D7" s="7">
        <f>B7+COUNTIFS('Full Register'!$A$6:$A$47,$A7,'Full Register'!$C$6:$C$47,"R3")</f>
        <v>7</v>
      </c>
      <c r="E7" s="17">
        <f t="shared" si="1"/>
        <v>1</v>
      </c>
      <c r="F7" s="18">
        <f t="shared" si="2"/>
        <v>42.857142857142861</v>
      </c>
      <c r="H7" t="s">
        <v>38</v>
      </c>
      <c r="I7">
        <f>COUNTIF('Full Register'!$C$6:$C$47,H7)</f>
        <v>8</v>
      </c>
    </row>
    <row r="8" spans="1:9" x14ac:dyDescent="0.35">
      <c r="A8" t="s">
        <v>160</v>
      </c>
      <c r="B8" s="7">
        <f>COUNTIFS('Full Register'!$A$6:$A$47,$A8,'Full Register'!$C$6:$C$47,"R1")+COUNTIFS('Full Register'!$A$6:$A$47,$A8,'Full Register'!$C$6:$C$47,"R2")</f>
        <v>1</v>
      </c>
      <c r="C8" s="17">
        <f t="shared" si="0"/>
        <v>0.14285714285714285</v>
      </c>
      <c r="D8" s="7">
        <f>B8+COUNTIFS('Full Register'!$A$6:$A$47,$A8,'Full Register'!$C$6:$C$47,"R3")</f>
        <v>3</v>
      </c>
      <c r="E8" s="17">
        <f t="shared" si="1"/>
        <v>0.42857142857142855</v>
      </c>
      <c r="F8" s="18">
        <f t="shared" si="2"/>
        <v>28.571428571428569</v>
      </c>
      <c r="H8" t="s">
        <v>44</v>
      </c>
      <c r="I8">
        <f>COUNTIF('Full Register'!$C$6:$C$47,H8)</f>
        <v>10</v>
      </c>
    </row>
    <row r="9" spans="1:9" x14ac:dyDescent="0.35">
      <c r="A9" t="s">
        <v>183</v>
      </c>
      <c r="B9" s="7">
        <f>COUNTIFS('Full Register'!$A$6:$A$47,$A9,'Full Register'!$C$6:$C$47,"R1")+COUNTIFS('Full Register'!$A$6:$A$47,$A9,'Full Register'!$C$6:$C$47,"R2")</f>
        <v>5</v>
      </c>
      <c r="C9" s="17">
        <f t="shared" si="0"/>
        <v>0.7142857142857143</v>
      </c>
      <c r="D9" s="7">
        <f>B9+COUNTIFS('Full Register'!$A$6:$A$47,$A9,'Full Register'!$C$6:$C$47,"R3")</f>
        <v>7</v>
      </c>
      <c r="E9" s="17">
        <f t="shared" si="1"/>
        <v>1</v>
      </c>
      <c r="F9" s="18">
        <f t="shared" si="2"/>
        <v>28.571428571428569</v>
      </c>
      <c r="H9" t="s">
        <v>51</v>
      </c>
      <c r="I9">
        <f>COUNTIF('Full Register'!$C$6:$C$47,H9)</f>
        <v>4</v>
      </c>
    </row>
    <row r="10" spans="1:9" x14ac:dyDescent="0.35">
      <c r="A10" t="s">
        <v>207</v>
      </c>
      <c r="B10" s="7">
        <f>COUNTIFS('Full Register'!$A$6:$A$47,$A10,'Full Register'!$C$6:$C$47,"R1")+COUNTIFS('Full Register'!$A$6:$A$47,$A10,'Full Register'!$C$6:$C$47,"R2")</f>
        <v>5</v>
      </c>
      <c r="C10" s="17">
        <f t="shared" si="0"/>
        <v>0.7142857142857143</v>
      </c>
      <c r="D10" s="7">
        <f>B10+COUNTIFS('Full Register'!$A$6:$A$47,$A10,'Full Register'!$C$6:$C$47,"R3")</f>
        <v>7</v>
      </c>
      <c r="E10" s="17">
        <f t="shared" si="1"/>
        <v>1</v>
      </c>
      <c r="F10" s="18">
        <f t="shared" si="2"/>
        <v>28.571428571428569</v>
      </c>
      <c r="H10" t="s">
        <v>58</v>
      </c>
      <c r="I10">
        <f>COUNTIF('Full Register'!$C$6:$C$47,H10)</f>
        <v>3</v>
      </c>
    </row>
    <row r="11" spans="1:9" x14ac:dyDescent="0.35">
      <c r="A11" t="s">
        <v>229</v>
      </c>
      <c r="B11" s="7">
        <f>COUNTIFS('Full Register'!$A$6:$A$47,$A11,'Full Register'!$C$6:$C$47,"R1")+COUNTIFS('Full Register'!$A$6:$A$47,$A11,'Full Register'!$C$6:$C$47,"R2")</f>
        <v>3</v>
      </c>
      <c r="C11" s="17">
        <f t="shared" si="0"/>
        <v>0.42857142857142855</v>
      </c>
      <c r="D11" s="7">
        <f>B11+COUNTIFS('Full Register'!$A$6:$A$47,$A11,'Full Register'!$C$6:$C$47,"R3")</f>
        <v>4</v>
      </c>
      <c r="E11" s="17">
        <f t="shared" si="1"/>
        <v>0.5714285714285714</v>
      </c>
      <c r="F11" s="18">
        <f t="shared" si="2"/>
        <v>14.285714285714285</v>
      </c>
    </row>
    <row r="13" spans="1:9" x14ac:dyDescent="0.35">
      <c r="H13" t="s">
        <v>267</v>
      </c>
      <c r="I13" t="s">
        <v>268</v>
      </c>
    </row>
    <row r="14" spans="1:9" ht="28.5" customHeight="1" x14ac:dyDescent="0.35">
      <c r="A14" s="8" t="s">
        <v>65</v>
      </c>
      <c r="B14" s="8" t="s">
        <v>260</v>
      </c>
      <c r="C14" s="8" t="s">
        <v>261</v>
      </c>
      <c r="D14" s="8" t="s">
        <v>262</v>
      </c>
      <c r="E14" s="8" t="s">
        <v>263</v>
      </c>
      <c r="F14" s="8" t="s">
        <v>264</v>
      </c>
      <c r="H14" s="8" t="s">
        <v>269</v>
      </c>
      <c r="I14" s="19">
        <f>(COUNTIF('Full Register'!$C$6:$C$47,"R1")+COUNTIF('Full Register'!$C$6:$C$47,"R2"))/42</f>
        <v>0.59523809523809523</v>
      </c>
    </row>
    <row r="15" spans="1:9" x14ac:dyDescent="0.35">
      <c r="A15" t="s">
        <v>70</v>
      </c>
      <c r="B15" s="7">
        <f>COUNTIFS('Full Register'!$B$6:$B$47,$A15,'Full Register'!$C$6:$C$47,"R1")+COUNTIFS('Full Register'!$B$6:$B$47,$A15,'Full Register'!$C$6:$C$47,"R2")</f>
        <v>4</v>
      </c>
      <c r="C15" s="17">
        <f t="shared" ref="C15:C21" si="3">B15/6</f>
        <v>0.66666666666666663</v>
      </c>
      <c r="D15" s="7">
        <f>B15+COUNTIFS('Full Register'!$B$6:$B$47,$A15,'Full Register'!$C$6:$C$47,"R3")</f>
        <v>5</v>
      </c>
      <c r="E15" s="17">
        <f t="shared" ref="E15:E21" si="4">D15/6</f>
        <v>0.83333333333333337</v>
      </c>
      <c r="F15" s="18">
        <f t="shared" ref="F15:F21" si="5">(E15-C15)*100</f>
        <v>16.666666666666675</v>
      </c>
      <c r="H15" t="s">
        <v>270</v>
      </c>
      <c r="I15" s="20">
        <f>(COUNTIF('Full Register'!$C$6:$C$47,"R1")+COUNTIF('Full Register'!$C$6:$C$47,"R2")+COUNTIF('Full Register'!$C$6:$C$47,"R3"))/42</f>
        <v>0.83333333333333337</v>
      </c>
    </row>
    <row r="16" spans="1:9" x14ac:dyDescent="0.35">
      <c r="A16" t="s">
        <v>75</v>
      </c>
      <c r="B16" s="7">
        <f>COUNTIFS('Full Register'!$B$6:$B$47,$A16,'Full Register'!$C$6:$C$47,"R1")+COUNTIFS('Full Register'!$B$6:$B$47,$A16,'Full Register'!$C$6:$C$47,"R2")</f>
        <v>6</v>
      </c>
      <c r="C16" s="17">
        <f t="shared" si="3"/>
        <v>1</v>
      </c>
      <c r="D16" s="7">
        <f>B16+COUNTIFS('Full Register'!$B$6:$B$47,$A16,'Full Register'!$C$6:$C$47,"R3")</f>
        <v>6</v>
      </c>
      <c r="E16" s="17">
        <f t="shared" si="4"/>
        <v>1</v>
      </c>
      <c r="F16" s="18">
        <f t="shared" si="5"/>
        <v>0</v>
      </c>
      <c r="H16" t="s">
        <v>271</v>
      </c>
      <c r="I16" t="s">
        <v>272</v>
      </c>
    </row>
    <row r="17" spans="1:9" x14ac:dyDescent="0.35">
      <c r="A17" t="s">
        <v>79</v>
      </c>
      <c r="B17" s="7">
        <f>COUNTIFS('Full Register'!$B$6:$B$47,$A17,'Full Register'!$C$6:$C$47,"R1")+COUNTIFS('Full Register'!$B$6:$B$47,$A17,'Full Register'!$C$6:$C$47,"R2")</f>
        <v>1</v>
      </c>
      <c r="C17" s="17">
        <f t="shared" si="3"/>
        <v>0.16666666666666666</v>
      </c>
      <c r="D17" s="7">
        <f>B17+COUNTIFS('Full Register'!$B$6:$B$47,$A17,'Full Register'!$C$6:$C$47,"R3")</f>
        <v>5</v>
      </c>
      <c r="E17" s="17">
        <f t="shared" si="4"/>
        <v>0.83333333333333337</v>
      </c>
      <c r="F17" s="18">
        <f t="shared" si="5"/>
        <v>66.666666666666671</v>
      </c>
    </row>
    <row r="18" spans="1:9" x14ac:dyDescent="0.35">
      <c r="A18" t="s">
        <v>84</v>
      </c>
      <c r="B18" s="7">
        <f>COUNTIFS('Full Register'!$B$6:$B$47,$A18,'Full Register'!$C$6:$C$47,"R1")+COUNTIFS('Full Register'!$B$6:$B$47,$A18,'Full Register'!$C$6:$C$47,"R2")</f>
        <v>1</v>
      </c>
      <c r="C18" s="17">
        <f t="shared" si="3"/>
        <v>0.16666666666666666</v>
      </c>
      <c r="D18" s="7">
        <f>B18+COUNTIFS('Full Register'!$B$6:$B$47,$A18,'Full Register'!$C$6:$C$47,"R3")</f>
        <v>5</v>
      </c>
      <c r="E18" s="17">
        <f t="shared" si="4"/>
        <v>0.83333333333333337</v>
      </c>
      <c r="F18" s="18">
        <f t="shared" si="5"/>
        <v>66.666666666666671</v>
      </c>
    </row>
    <row r="19" spans="1:9" ht="15" customHeight="1" x14ac:dyDescent="0.35">
      <c r="A19" t="s">
        <v>89</v>
      </c>
      <c r="B19" s="7">
        <f>COUNTIFS('Full Register'!$B$6:$B$47,$A19,'Full Register'!$C$6:$C$47,"R1")+COUNTIFS('Full Register'!$B$6:$B$47,$A19,'Full Register'!$C$6:$C$47,"R2")</f>
        <v>4</v>
      </c>
      <c r="C19" s="17">
        <f t="shared" si="3"/>
        <v>0.66666666666666663</v>
      </c>
      <c r="D19" s="7">
        <f>B19+COUNTIFS('Full Register'!$B$6:$B$47,$A19,'Full Register'!$C$6:$C$47,"R3")</f>
        <v>5</v>
      </c>
      <c r="E19" s="17">
        <f t="shared" si="4"/>
        <v>0.83333333333333337</v>
      </c>
      <c r="F19" s="18">
        <f t="shared" si="5"/>
        <v>16.666666666666675</v>
      </c>
      <c r="H19" s="4" t="s">
        <v>273</v>
      </c>
      <c r="I19" s="4"/>
    </row>
    <row r="20" spans="1:9" x14ac:dyDescent="0.35">
      <c r="A20" t="s">
        <v>94</v>
      </c>
      <c r="B20" s="7">
        <f>COUNTIFS('Full Register'!$B$6:$B$47,$A20,'Full Register'!$C$6:$C$47,"R1")+COUNTIFS('Full Register'!$B$6:$B$47,$A20,'Full Register'!$C$6:$C$47,"R2")</f>
        <v>4</v>
      </c>
      <c r="C20" s="17">
        <f t="shared" si="3"/>
        <v>0.66666666666666663</v>
      </c>
      <c r="D20" s="7">
        <f>B20+COUNTIFS('Full Register'!$B$6:$B$47,$A20,'Full Register'!$C$6:$C$47,"R3")</f>
        <v>4</v>
      </c>
      <c r="E20" s="17">
        <f t="shared" si="4"/>
        <v>0.66666666666666663</v>
      </c>
      <c r="F20" s="18">
        <f t="shared" si="5"/>
        <v>0</v>
      </c>
      <c r="H20" s="4"/>
      <c r="I20" s="4"/>
    </row>
    <row r="21" spans="1:9" x14ac:dyDescent="0.35">
      <c r="A21" t="s">
        <v>99</v>
      </c>
      <c r="B21" s="7">
        <f>COUNTIFS('Full Register'!$B$6:$B$47,$A21,'Full Register'!$C$6:$C$47,"R1")+COUNTIFS('Full Register'!$B$6:$B$47,$A21,'Full Register'!$C$6:$C$47,"R2")</f>
        <v>5</v>
      </c>
      <c r="C21" s="17">
        <f t="shared" si="3"/>
        <v>0.83333333333333337</v>
      </c>
      <c r="D21" s="7">
        <f>B21+COUNTIFS('Full Register'!$B$6:$B$47,$A21,'Full Register'!$C$6:$C$47,"R3")</f>
        <v>5</v>
      </c>
      <c r="E21" s="17">
        <f t="shared" si="4"/>
        <v>0.83333333333333337</v>
      </c>
      <c r="F21" s="18">
        <f t="shared" si="5"/>
        <v>0</v>
      </c>
      <c r="H21" s="4"/>
      <c r="I21" s="4"/>
    </row>
    <row r="22" spans="1:9" x14ac:dyDescent="0.35">
      <c r="H22" s="4"/>
      <c r="I22" s="4"/>
    </row>
  </sheetData>
  <mergeCells count="3">
    <mergeCell ref="A1:I2"/>
    <mergeCell ref="A3:I3"/>
    <mergeCell ref="H19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7"/>
  <sheetViews>
    <sheetView zoomScaleNormal="100" workbookViewId="0">
      <pane ySplit="5" topLeftCell="A6" activePane="bottomLeft" state="frozen"/>
      <selection pane="bottomLeft" sqref="A1:M2"/>
    </sheetView>
  </sheetViews>
  <sheetFormatPr defaultColWidth="8.6328125" defaultRowHeight="14.5" x14ac:dyDescent="0.35"/>
  <cols>
    <col min="1" max="1" width="8" customWidth="1"/>
    <col min="2" max="2" width="17" customWidth="1"/>
    <col min="3" max="3" width="24" customWidth="1"/>
    <col min="4" max="4" width="10" customWidth="1"/>
    <col min="5" max="5" width="9" customWidth="1"/>
    <col min="6" max="6" width="40" customWidth="1"/>
    <col min="7" max="7" width="56" customWidth="1"/>
    <col min="8" max="8" width="16" customWidth="1"/>
    <col min="9" max="9" width="9" customWidth="1"/>
    <col min="10" max="10" width="10" customWidth="1"/>
    <col min="11" max="12" width="9" customWidth="1"/>
    <col min="13" max="13" width="56" customWidth="1"/>
  </cols>
  <sheetData>
    <row r="1" spans="1:13" x14ac:dyDescent="0.35">
      <c r="A1" s="6" t="s">
        <v>274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" customHeight="1" x14ac:dyDescent="0.35">
      <c r="A3" s="4" t="s">
        <v>275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spans="1:13" ht="42" customHeight="1" x14ac:dyDescent="0.35">
      <c r="A5" s="8" t="s">
        <v>276</v>
      </c>
      <c r="B5" s="8" t="s">
        <v>105</v>
      </c>
      <c r="C5" s="8" t="s">
        <v>65</v>
      </c>
      <c r="D5" s="8" t="s">
        <v>277</v>
      </c>
      <c r="E5" s="8" t="s">
        <v>278</v>
      </c>
      <c r="F5" s="8" t="s">
        <v>279</v>
      </c>
      <c r="G5" s="8" t="s">
        <v>280</v>
      </c>
      <c r="H5" s="8" t="s">
        <v>281</v>
      </c>
      <c r="I5" s="8" t="s">
        <v>282</v>
      </c>
      <c r="J5" s="8" t="s">
        <v>283</v>
      </c>
      <c r="K5" s="8" t="s">
        <v>284</v>
      </c>
      <c r="L5" s="8" t="s">
        <v>285</v>
      </c>
      <c r="M5" s="8" t="s">
        <v>286</v>
      </c>
    </row>
    <row r="6" spans="1:13" ht="57.75" customHeight="1" x14ac:dyDescent="0.35">
      <c r="A6" t="s">
        <v>287</v>
      </c>
      <c r="B6" t="s">
        <v>114</v>
      </c>
      <c r="C6" t="s">
        <v>70</v>
      </c>
      <c r="D6" s="10" t="s">
        <v>31</v>
      </c>
      <c r="E6" s="10" t="s">
        <v>288</v>
      </c>
      <c r="F6" s="7" t="s">
        <v>289</v>
      </c>
      <c r="G6" s="7" t="s">
        <v>290</v>
      </c>
      <c r="H6" t="s">
        <v>291</v>
      </c>
      <c r="I6" s="10" t="s">
        <v>35</v>
      </c>
      <c r="J6" s="10" t="s">
        <v>292</v>
      </c>
      <c r="K6" s="10" t="s">
        <v>31</v>
      </c>
      <c r="L6" s="10" t="s">
        <v>292</v>
      </c>
      <c r="M6" s="7" t="s">
        <v>293</v>
      </c>
    </row>
    <row r="7" spans="1:13" ht="57.75" customHeight="1" x14ac:dyDescent="0.35">
      <c r="A7" t="s">
        <v>294</v>
      </c>
      <c r="B7" t="s">
        <v>114</v>
      </c>
      <c r="C7" t="s">
        <v>295</v>
      </c>
      <c r="D7" s="10" t="s">
        <v>31</v>
      </c>
      <c r="E7" s="10" t="s">
        <v>288</v>
      </c>
      <c r="F7" s="7" t="s">
        <v>296</v>
      </c>
      <c r="G7" s="7" t="s">
        <v>297</v>
      </c>
      <c r="H7" t="s">
        <v>291</v>
      </c>
      <c r="I7" s="10" t="s">
        <v>35</v>
      </c>
      <c r="J7" s="10" t="s">
        <v>292</v>
      </c>
      <c r="K7" s="10" t="s">
        <v>31</v>
      </c>
      <c r="L7" s="10" t="s">
        <v>292</v>
      </c>
      <c r="M7" s="7" t="s">
        <v>298</v>
      </c>
    </row>
    <row r="8" spans="1:13" ht="87" customHeight="1" x14ac:dyDescent="0.35">
      <c r="A8" t="s">
        <v>299</v>
      </c>
      <c r="B8" t="s">
        <v>114</v>
      </c>
      <c r="C8" t="s">
        <v>79</v>
      </c>
      <c r="D8" s="10" t="s">
        <v>31</v>
      </c>
      <c r="E8" s="10" t="s">
        <v>288</v>
      </c>
      <c r="F8" t="s">
        <v>300</v>
      </c>
      <c r="G8" t="s">
        <v>301</v>
      </c>
      <c r="H8" t="s">
        <v>291</v>
      </c>
      <c r="I8" s="10" t="s">
        <v>35</v>
      </c>
      <c r="J8" s="10" t="s">
        <v>292</v>
      </c>
      <c r="K8" s="10" t="s">
        <v>31</v>
      </c>
      <c r="L8" s="10" t="s">
        <v>292</v>
      </c>
      <c r="M8" s="7" t="s">
        <v>302</v>
      </c>
    </row>
    <row r="9" spans="1:13" ht="43.5" customHeight="1" x14ac:dyDescent="0.35">
      <c r="A9" t="s">
        <v>303</v>
      </c>
      <c r="B9" t="s">
        <v>114</v>
      </c>
      <c r="C9" t="s">
        <v>84</v>
      </c>
      <c r="D9" s="10" t="s">
        <v>31</v>
      </c>
      <c r="E9" s="10" t="s">
        <v>288</v>
      </c>
      <c r="F9" t="s">
        <v>300</v>
      </c>
      <c r="G9" t="s">
        <v>304</v>
      </c>
      <c r="H9" t="s">
        <v>291</v>
      </c>
      <c r="I9" s="10" t="s">
        <v>35</v>
      </c>
      <c r="J9" s="10" t="s">
        <v>292</v>
      </c>
      <c r="K9" s="10" t="s">
        <v>31</v>
      </c>
      <c r="L9" s="10" t="s">
        <v>292</v>
      </c>
      <c r="M9" s="7" t="s">
        <v>305</v>
      </c>
    </row>
    <row r="10" spans="1:13" ht="57.75" customHeight="1" x14ac:dyDescent="0.35">
      <c r="A10" t="s">
        <v>306</v>
      </c>
      <c r="B10" t="s">
        <v>114</v>
      </c>
      <c r="C10" t="s">
        <v>89</v>
      </c>
      <c r="D10" s="10" t="s">
        <v>31</v>
      </c>
      <c r="E10" s="10" t="s">
        <v>288</v>
      </c>
      <c r="F10" s="7" t="s">
        <v>307</v>
      </c>
      <c r="G10" s="7" t="s">
        <v>308</v>
      </c>
      <c r="H10" t="s">
        <v>291</v>
      </c>
      <c r="I10" s="10" t="s">
        <v>35</v>
      </c>
      <c r="J10" s="10" t="s">
        <v>292</v>
      </c>
      <c r="K10" s="10" t="s">
        <v>31</v>
      </c>
      <c r="L10" s="10" t="s">
        <v>292</v>
      </c>
      <c r="M10" s="7" t="s">
        <v>309</v>
      </c>
    </row>
    <row r="11" spans="1:13" ht="101.25" customHeight="1" x14ac:dyDescent="0.35">
      <c r="A11" t="s">
        <v>310</v>
      </c>
      <c r="B11" t="s">
        <v>114</v>
      </c>
      <c r="C11" t="s">
        <v>311</v>
      </c>
      <c r="D11" s="10" t="s">
        <v>38</v>
      </c>
      <c r="E11" s="10" t="s">
        <v>288</v>
      </c>
      <c r="F11" s="7" t="s">
        <v>312</v>
      </c>
      <c r="G11" s="7" t="s">
        <v>313</v>
      </c>
      <c r="H11" t="s">
        <v>291</v>
      </c>
      <c r="I11" s="10" t="s">
        <v>41</v>
      </c>
      <c r="J11" s="10" t="s">
        <v>292</v>
      </c>
      <c r="K11" s="10" t="s">
        <v>38</v>
      </c>
      <c r="L11" s="10" t="s">
        <v>292</v>
      </c>
      <c r="M11" s="7" t="s">
        <v>314</v>
      </c>
    </row>
    <row r="12" spans="1:13" ht="57.75" customHeight="1" x14ac:dyDescent="0.35">
      <c r="A12" t="s">
        <v>315</v>
      </c>
      <c r="B12" t="s">
        <v>114</v>
      </c>
      <c r="C12" t="s">
        <v>99</v>
      </c>
      <c r="D12" s="10" t="s">
        <v>31</v>
      </c>
      <c r="E12" s="10" t="s">
        <v>288</v>
      </c>
      <c r="F12" s="7" t="s">
        <v>316</v>
      </c>
      <c r="G12" s="7" t="s">
        <v>317</v>
      </c>
      <c r="H12" t="s">
        <v>291</v>
      </c>
      <c r="I12" s="10" t="s">
        <v>35</v>
      </c>
      <c r="J12" s="10" t="s">
        <v>292</v>
      </c>
      <c r="K12" s="10" t="s">
        <v>31</v>
      </c>
      <c r="L12" s="10" t="s">
        <v>292</v>
      </c>
      <c r="M12" s="7" t="s">
        <v>318</v>
      </c>
    </row>
    <row r="13" spans="1:13" ht="57.75" customHeight="1" x14ac:dyDescent="0.35">
      <c r="A13" t="s">
        <v>319</v>
      </c>
      <c r="B13" t="s">
        <v>137</v>
      </c>
      <c r="C13" t="s">
        <v>70</v>
      </c>
      <c r="D13" s="10" t="s">
        <v>31</v>
      </c>
      <c r="E13" s="10" t="s">
        <v>292</v>
      </c>
      <c r="F13" t="s">
        <v>320</v>
      </c>
      <c r="G13" t="s">
        <v>175</v>
      </c>
      <c r="H13" t="s">
        <v>321</v>
      </c>
      <c r="I13" s="10" t="s">
        <v>61</v>
      </c>
      <c r="J13" s="10" t="s">
        <v>292</v>
      </c>
      <c r="K13" s="10" t="s">
        <v>31</v>
      </c>
      <c r="L13" s="10" t="s">
        <v>292</v>
      </c>
      <c r="M13" s="7" t="s">
        <v>322</v>
      </c>
    </row>
    <row r="14" spans="1:13" ht="57.75" customHeight="1" x14ac:dyDescent="0.35">
      <c r="A14" t="s">
        <v>323</v>
      </c>
      <c r="B14" t="s">
        <v>137</v>
      </c>
      <c r="C14" t="s">
        <v>295</v>
      </c>
      <c r="D14" s="10" t="s">
        <v>38</v>
      </c>
      <c r="E14" s="10" t="s">
        <v>292</v>
      </c>
      <c r="F14" t="s">
        <v>320</v>
      </c>
      <c r="G14" t="s">
        <v>175</v>
      </c>
      <c r="H14" t="s">
        <v>321</v>
      </c>
      <c r="I14" s="10" t="s">
        <v>61</v>
      </c>
      <c r="J14" s="10" t="s">
        <v>292</v>
      </c>
      <c r="K14" s="10" t="s">
        <v>38</v>
      </c>
      <c r="L14" s="10" t="s">
        <v>292</v>
      </c>
      <c r="M14" s="7" t="s">
        <v>322</v>
      </c>
    </row>
    <row r="15" spans="1:13" ht="57.75" customHeight="1" x14ac:dyDescent="0.35">
      <c r="A15" t="s">
        <v>324</v>
      </c>
      <c r="B15" t="s">
        <v>137</v>
      </c>
      <c r="C15" t="s">
        <v>79</v>
      </c>
      <c r="D15" s="10" t="s">
        <v>44</v>
      </c>
      <c r="E15" s="10" t="s">
        <v>292</v>
      </c>
      <c r="F15" t="s">
        <v>320</v>
      </c>
      <c r="G15" t="s">
        <v>175</v>
      </c>
      <c r="H15" t="s">
        <v>321</v>
      </c>
      <c r="I15" s="10" t="s">
        <v>61</v>
      </c>
      <c r="J15" s="10" t="s">
        <v>292</v>
      </c>
      <c r="K15" s="10" t="s">
        <v>44</v>
      </c>
      <c r="L15" s="10" t="s">
        <v>292</v>
      </c>
      <c r="M15" s="7" t="s">
        <v>322</v>
      </c>
    </row>
    <row r="16" spans="1:13" ht="57.75" customHeight="1" x14ac:dyDescent="0.35">
      <c r="A16" t="s">
        <v>325</v>
      </c>
      <c r="B16" t="s">
        <v>137</v>
      </c>
      <c r="C16" t="s">
        <v>84</v>
      </c>
      <c r="D16" s="10" t="s">
        <v>44</v>
      </c>
      <c r="E16" s="10" t="s">
        <v>292</v>
      </c>
      <c r="F16" t="s">
        <v>320</v>
      </c>
      <c r="G16" t="s">
        <v>175</v>
      </c>
      <c r="H16" t="s">
        <v>321</v>
      </c>
      <c r="I16" s="10" t="s">
        <v>61</v>
      </c>
      <c r="J16" s="10" t="s">
        <v>292</v>
      </c>
      <c r="K16" s="10" t="s">
        <v>44</v>
      </c>
      <c r="L16" s="10" t="s">
        <v>292</v>
      </c>
      <c r="M16" s="7" t="s">
        <v>322</v>
      </c>
    </row>
    <row r="17" spans="1:13" ht="57.75" customHeight="1" x14ac:dyDescent="0.35">
      <c r="A17" t="s">
        <v>326</v>
      </c>
      <c r="B17" t="s">
        <v>137</v>
      </c>
      <c r="C17" t="s">
        <v>89</v>
      </c>
      <c r="D17" s="10" t="s">
        <v>44</v>
      </c>
      <c r="E17" s="10" t="s">
        <v>292</v>
      </c>
      <c r="F17" t="s">
        <v>320</v>
      </c>
      <c r="G17" t="s">
        <v>175</v>
      </c>
      <c r="H17" t="s">
        <v>321</v>
      </c>
      <c r="I17" s="10" t="s">
        <v>61</v>
      </c>
      <c r="J17" s="10" t="s">
        <v>292</v>
      </c>
      <c r="K17" s="10" t="s">
        <v>44</v>
      </c>
      <c r="L17" s="10" t="s">
        <v>292</v>
      </c>
      <c r="M17" s="7" t="s">
        <v>322</v>
      </c>
    </row>
    <row r="18" spans="1:13" ht="57.75" customHeight="1" x14ac:dyDescent="0.35">
      <c r="A18" t="s">
        <v>327</v>
      </c>
      <c r="B18" t="s">
        <v>137</v>
      </c>
      <c r="C18" t="s">
        <v>311</v>
      </c>
      <c r="D18" s="10" t="s">
        <v>31</v>
      </c>
      <c r="E18" s="10" t="s">
        <v>292</v>
      </c>
      <c r="F18" t="s">
        <v>320</v>
      </c>
      <c r="G18" t="s">
        <v>175</v>
      </c>
      <c r="H18" t="s">
        <v>321</v>
      </c>
      <c r="I18" s="10" t="s">
        <v>61</v>
      </c>
      <c r="J18" s="10" t="s">
        <v>292</v>
      </c>
      <c r="K18" s="10" t="s">
        <v>31</v>
      </c>
      <c r="L18" s="10" t="s">
        <v>292</v>
      </c>
      <c r="M18" s="7" t="s">
        <v>322</v>
      </c>
    </row>
    <row r="19" spans="1:13" ht="57.75" customHeight="1" x14ac:dyDescent="0.35">
      <c r="A19" t="s">
        <v>328</v>
      </c>
      <c r="B19" t="s">
        <v>137</v>
      </c>
      <c r="C19" t="s">
        <v>99</v>
      </c>
      <c r="D19" s="10" t="s">
        <v>31</v>
      </c>
      <c r="E19" s="10" t="s">
        <v>292</v>
      </c>
      <c r="F19" t="s">
        <v>320</v>
      </c>
      <c r="G19" t="s">
        <v>175</v>
      </c>
      <c r="H19" t="s">
        <v>321</v>
      </c>
      <c r="I19" s="10" t="s">
        <v>61</v>
      </c>
      <c r="J19" s="10" t="s">
        <v>292</v>
      </c>
      <c r="K19" s="10" t="s">
        <v>31</v>
      </c>
      <c r="L19" s="10" t="s">
        <v>292</v>
      </c>
      <c r="M19" s="7" t="s">
        <v>322</v>
      </c>
    </row>
    <row r="20" spans="1:13" ht="72" customHeight="1" x14ac:dyDescent="0.35">
      <c r="A20" t="s">
        <v>329</v>
      </c>
      <c r="B20" t="s">
        <v>160</v>
      </c>
      <c r="C20" t="s">
        <v>70</v>
      </c>
      <c r="D20" s="10" t="s">
        <v>51</v>
      </c>
      <c r="E20" s="10" t="s">
        <v>292</v>
      </c>
      <c r="F20" t="s">
        <v>320</v>
      </c>
      <c r="G20" t="s">
        <v>175</v>
      </c>
      <c r="H20" t="s">
        <v>330</v>
      </c>
      <c r="I20" s="10" t="s">
        <v>61</v>
      </c>
      <c r="J20" s="10" t="s">
        <v>292</v>
      </c>
      <c r="K20" s="10" t="s">
        <v>51</v>
      </c>
      <c r="L20" s="10" t="s">
        <v>292</v>
      </c>
      <c r="M20" s="7" t="s">
        <v>331</v>
      </c>
    </row>
    <row r="21" spans="1:13" ht="72" customHeight="1" x14ac:dyDescent="0.35">
      <c r="A21" t="s">
        <v>332</v>
      </c>
      <c r="B21" t="s">
        <v>160</v>
      </c>
      <c r="C21" t="s">
        <v>295</v>
      </c>
      <c r="D21" s="10" t="s">
        <v>38</v>
      </c>
      <c r="E21" s="10" t="s">
        <v>292</v>
      </c>
      <c r="F21" t="s">
        <v>320</v>
      </c>
      <c r="G21" t="s">
        <v>175</v>
      </c>
      <c r="H21" t="s">
        <v>330</v>
      </c>
      <c r="I21" s="10" t="s">
        <v>61</v>
      </c>
      <c r="J21" s="10" t="s">
        <v>292</v>
      </c>
      <c r="K21" s="10" t="s">
        <v>38</v>
      </c>
      <c r="L21" s="10" t="s">
        <v>292</v>
      </c>
      <c r="M21" s="7" t="s">
        <v>331</v>
      </c>
    </row>
    <row r="22" spans="1:13" ht="72" customHeight="1" x14ac:dyDescent="0.35">
      <c r="A22" t="s">
        <v>333</v>
      </c>
      <c r="B22" t="s">
        <v>160</v>
      </c>
      <c r="C22" t="s">
        <v>79</v>
      </c>
      <c r="D22" s="10" t="s">
        <v>44</v>
      </c>
      <c r="E22" s="10" t="s">
        <v>292</v>
      </c>
      <c r="F22" t="s">
        <v>320</v>
      </c>
      <c r="G22" t="s">
        <v>175</v>
      </c>
      <c r="H22" t="s">
        <v>330</v>
      </c>
      <c r="I22" s="10" t="s">
        <v>61</v>
      </c>
      <c r="J22" s="10" t="s">
        <v>292</v>
      </c>
      <c r="K22" s="10" t="s">
        <v>44</v>
      </c>
      <c r="L22" s="10" t="s">
        <v>292</v>
      </c>
      <c r="M22" s="7" t="s">
        <v>331</v>
      </c>
    </row>
    <row r="23" spans="1:13" ht="72" customHeight="1" x14ac:dyDescent="0.35">
      <c r="A23" t="s">
        <v>334</v>
      </c>
      <c r="B23" t="s">
        <v>160</v>
      </c>
      <c r="C23" t="s">
        <v>84</v>
      </c>
      <c r="D23" s="10" t="s">
        <v>44</v>
      </c>
      <c r="E23" s="10" t="s">
        <v>292</v>
      </c>
      <c r="F23" t="s">
        <v>320</v>
      </c>
      <c r="G23" t="s">
        <v>175</v>
      </c>
      <c r="H23" t="s">
        <v>330</v>
      </c>
      <c r="I23" s="10" t="s">
        <v>61</v>
      </c>
      <c r="J23" s="10" t="s">
        <v>292</v>
      </c>
      <c r="K23" s="10" t="s">
        <v>44</v>
      </c>
      <c r="L23" s="10" t="s">
        <v>292</v>
      </c>
      <c r="M23" s="7" t="s">
        <v>331</v>
      </c>
    </row>
    <row r="24" spans="1:13" ht="72" customHeight="1" x14ac:dyDescent="0.35">
      <c r="A24" t="s">
        <v>335</v>
      </c>
      <c r="B24" t="s">
        <v>160</v>
      </c>
      <c r="C24" t="s">
        <v>89</v>
      </c>
      <c r="D24" s="10" t="s">
        <v>58</v>
      </c>
      <c r="E24" s="10" t="s">
        <v>292</v>
      </c>
      <c r="F24" t="s">
        <v>320</v>
      </c>
      <c r="G24" t="s">
        <v>175</v>
      </c>
      <c r="H24" t="s">
        <v>330</v>
      </c>
      <c r="I24" s="10" t="s">
        <v>61</v>
      </c>
      <c r="J24" s="10" t="s">
        <v>292</v>
      </c>
      <c r="K24" s="10" t="s">
        <v>58</v>
      </c>
      <c r="L24" s="10" t="s">
        <v>292</v>
      </c>
      <c r="M24" s="7" t="s">
        <v>331</v>
      </c>
    </row>
    <row r="25" spans="1:13" ht="72" customHeight="1" x14ac:dyDescent="0.35">
      <c r="A25" t="s">
        <v>336</v>
      </c>
      <c r="B25" t="s">
        <v>160</v>
      </c>
      <c r="C25" t="s">
        <v>311</v>
      </c>
      <c r="D25" s="10" t="s">
        <v>58</v>
      </c>
      <c r="E25" s="10" t="s">
        <v>292</v>
      </c>
      <c r="F25" t="s">
        <v>320</v>
      </c>
      <c r="G25" t="s">
        <v>175</v>
      </c>
      <c r="H25" t="s">
        <v>330</v>
      </c>
      <c r="I25" s="10" t="s">
        <v>61</v>
      </c>
      <c r="J25" s="10" t="s">
        <v>292</v>
      </c>
      <c r="K25" s="10" t="s">
        <v>58</v>
      </c>
      <c r="L25" s="10" t="s">
        <v>292</v>
      </c>
      <c r="M25" s="7" t="s">
        <v>331</v>
      </c>
    </row>
    <row r="26" spans="1:13" ht="72" customHeight="1" x14ac:dyDescent="0.35">
      <c r="A26" t="s">
        <v>337</v>
      </c>
      <c r="B26" t="s">
        <v>160</v>
      </c>
      <c r="C26" t="s">
        <v>99</v>
      </c>
      <c r="D26" s="10" t="s">
        <v>51</v>
      </c>
      <c r="E26" s="10" t="s">
        <v>292</v>
      </c>
      <c r="F26" t="s">
        <v>320</v>
      </c>
      <c r="G26" t="s">
        <v>175</v>
      </c>
      <c r="H26" t="s">
        <v>330</v>
      </c>
      <c r="I26" s="10" t="s">
        <v>61</v>
      </c>
      <c r="J26" s="10" t="s">
        <v>292</v>
      </c>
      <c r="K26" s="10" t="s">
        <v>51</v>
      </c>
      <c r="L26" s="10" t="s">
        <v>292</v>
      </c>
      <c r="M26" s="7" t="s">
        <v>331</v>
      </c>
    </row>
    <row r="27" spans="1:13" ht="72" customHeight="1" x14ac:dyDescent="0.35">
      <c r="A27" t="s">
        <v>338</v>
      </c>
      <c r="B27" t="s">
        <v>183</v>
      </c>
      <c r="C27" t="s">
        <v>70</v>
      </c>
      <c r="D27" s="10" t="s">
        <v>38</v>
      </c>
      <c r="E27" s="10" t="s">
        <v>288</v>
      </c>
      <c r="F27" s="7" t="s">
        <v>339</v>
      </c>
      <c r="G27" s="7" t="s">
        <v>340</v>
      </c>
      <c r="H27" t="s">
        <v>291</v>
      </c>
      <c r="I27" s="10" t="s">
        <v>35</v>
      </c>
      <c r="J27" s="10" t="s">
        <v>292</v>
      </c>
      <c r="K27" s="10" t="s">
        <v>38</v>
      </c>
      <c r="L27" s="10" t="s">
        <v>292</v>
      </c>
      <c r="M27" s="7" t="s">
        <v>341</v>
      </c>
    </row>
    <row r="28" spans="1:13" ht="101.25" customHeight="1" x14ac:dyDescent="0.35">
      <c r="A28" t="s">
        <v>342</v>
      </c>
      <c r="B28" t="s">
        <v>183</v>
      </c>
      <c r="C28" t="s">
        <v>295</v>
      </c>
      <c r="D28" s="10" t="s">
        <v>31</v>
      </c>
      <c r="E28" s="10" t="s">
        <v>288</v>
      </c>
      <c r="F28" s="7" t="s">
        <v>343</v>
      </c>
      <c r="G28" s="7" t="s">
        <v>344</v>
      </c>
      <c r="H28" t="s">
        <v>291</v>
      </c>
      <c r="I28" s="10" t="s">
        <v>41</v>
      </c>
      <c r="J28" s="10" t="s">
        <v>292</v>
      </c>
      <c r="K28" s="10" t="s">
        <v>31</v>
      </c>
      <c r="L28" s="10" t="s">
        <v>292</v>
      </c>
      <c r="M28" s="7" t="s">
        <v>345</v>
      </c>
    </row>
    <row r="29" spans="1:13" ht="72" customHeight="1" x14ac:dyDescent="0.35">
      <c r="A29" t="s">
        <v>346</v>
      </c>
      <c r="B29" t="s">
        <v>183</v>
      </c>
      <c r="C29" t="s">
        <v>79</v>
      </c>
      <c r="D29" s="10" t="s">
        <v>44</v>
      </c>
      <c r="E29" s="10" t="s">
        <v>288</v>
      </c>
      <c r="F29" t="s">
        <v>347</v>
      </c>
      <c r="G29" s="7" t="s">
        <v>348</v>
      </c>
      <c r="H29" t="s">
        <v>291</v>
      </c>
      <c r="I29" s="10" t="s">
        <v>35</v>
      </c>
      <c r="J29" s="10" t="s">
        <v>292</v>
      </c>
      <c r="K29" s="10" t="s">
        <v>44</v>
      </c>
      <c r="L29" s="10" t="s">
        <v>292</v>
      </c>
      <c r="M29" s="7" t="s">
        <v>349</v>
      </c>
    </row>
    <row r="30" spans="1:13" ht="57.75" customHeight="1" x14ac:dyDescent="0.35">
      <c r="A30" t="s">
        <v>350</v>
      </c>
      <c r="B30" t="s">
        <v>183</v>
      </c>
      <c r="C30" t="s">
        <v>84</v>
      </c>
      <c r="D30" s="10" t="s">
        <v>44</v>
      </c>
      <c r="E30" s="10" t="s">
        <v>288</v>
      </c>
      <c r="F30" t="s">
        <v>351</v>
      </c>
      <c r="G30" s="7" t="s">
        <v>352</v>
      </c>
      <c r="H30" t="s">
        <v>291</v>
      </c>
      <c r="I30" s="10" t="s">
        <v>35</v>
      </c>
      <c r="J30" s="10" t="s">
        <v>292</v>
      </c>
      <c r="K30" s="10" t="s">
        <v>44</v>
      </c>
      <c r="L30" s="10" t="s">
        <v>292</v>
      </c>
      <c r="M30" s="7" t="s">
        <v>353</v>
      </c>
    </row>
    <row r="31" spans="1:13" ht="57.75" customHeight="1" x14ac:dyDescent="0.35">
      <c r="A31" t="s">
        <v>354</v>
      </c>
      <c r="B31" t="s">
        <v>183</v>
      </c>
      <c r="C31" t="s">
        <v>89</v>
      </c>
      <c r="D31" s="10" t="s">
        <v>31</v>
      </c>
      <c r="E31" s="10" t="s">
        <v>288</v>
      </c>
      <c r="F31" t="s">
        <v>355</v>
      </c>
      <c r="G31" s="7" t="s">
        <v>356</v>
      </c>
      <c r="H31" t="s">
        <v>291</v>
      </c>
      <c r="I31" s="10" t="s">
        <v>35</v>
      </c>
      <c r="J31" s="10" t="s">
        <v>292</v>
      </c>
      <c r="K31" s="10" t="s">
        <v>31</v>
      </c>
      <c r="L31" s="10" t="s">
        <v>292</v>
      </c>
      <c r="M31" s="7" t="s">
        <v>357</v>
      </c>
    </row>
    <row r="32" spans="1:13" ht="72" customHeight="1" x14ac:dyDescent="0.35">
      <c r="A32" t="s">
        <v>358</v>
      </c>
      <c r="B32" t="s">
        <v>183</v>
      </c>
      <c r="C32" t="s">
        <v>311</v>
      </c>
      <c r="D32" s="10" t="s">
        <v>38</v>
      </c>
      <c r="E32" s="10" t="s">
        <v>288</v>
      </c>
      <c r="F32" t="s">
        <v>359</v>
      </c>
      <c r="G32" s="7" t="s">
        <v>360</v>
      </c>
      <c r="H32" t="s">
        <v>291</v>
      </c>
      <c r="I32" s="10" t="s">
        <v>35</v>
      </c>
      <c r="J32" s="10" t="s">
        <v>292</v>
      </c>
      <c r="K32" s="10" t="s">
        <v>38</v>
      </c>
      <c r="L32" s="10" t="s">
        <v>292</v>
      </c>
      <c r="M32" s="7" t="s">
        <v>361</v>
      </c>
    </row>
    <row r="33" spans="1:13" ht="87" customHeight="1" x14ac:dyDescent="0.35">
      <c r="A33" t="s">
        <v>362</v>
      </c>
      <c r="B33" t="s">
        <v>183</v>
      </c>
      <c r="C33" t="s">
        <v>99</v>
      </c>
      <c r="D33" s="10" t="s">
        <v>38</v>
      </c>
      <c r="E33" s="10" t="s">
        <v>288</v>
      </c>
      <c r="F33" t="s">
        <v>363</v>
      </c>
      <c r="G33" s="7" t="s">
        <v>364</v>
      </c>
      <c r="H33" t="s">
        <v>291</v>
      </c>
      <c r="I33" s="10" t="s">
        <v>41</v>
      </c>
      <c r="J33" s="10" t="s">
        <v>292</v>
      </c>
      <c r="K33" s="10" t="s">
        <v>38</v>
      </c>
      <c r="L33" s="10" t="s">
        <v>292</v>
      </c>
      <c r="M33" s="7" t="s">
        <v>365</v>
      </c>
    </row>
    <row r="34" spans="1:13" ht="57.75" customHeight="1" x14ac:dyDescent="0.35">
      <c r="A34" t="s">
        <v>366</v>
      </c>
      <c r="B34" t="s">
        <v>207</v>
      </c>
      <c r="C34" t="s">
        <v>70</v>
      </c>
      <c r="D34" s="10" t="s">
        <v>31</v>
      </c>
      <c r="E34" s="10" t="s">
        <v>288</v>
      </c>
      <c r="F34" t="s">
        <v>367</v>
      </c>
      <c r="G34" s="7" t="s">
        <v>368</v>
      </c>
      <c r="H34" t="s">
        <v>291</v>
      </c>
      <c r="I34" s="10" t="s">
        <v>35</v>
      </c>
      <c r="J34" s="10" t="s">
        <v>292</v>
      </c>
      <c r="K34" s="10" t="s">
        <v>31</v>
      </c>
      <c r="L34" s="10" t="s">
        <v>292</v>
      </c>
      <c r="M34" s="7" t="s">
        <v>369</v>
      </c>
    </row>
    <row r="35" spans="1:13" ht="72" customHeight="1" x14ac:dyDescent="0.35">
      <c r="A35" t="s">
        <v>370</v>
      </c>
      <c r="B35" t="s">
        <v>207</v>
      </c>
      <c r="C35" t="s">
        <v>295</v>
      </c>
      <c r="D35" s="10" t="s">
        <v>38</v>
      </c>
      <c r="E35" s="10" t="s">
        <v>288</v>
      </c>
      <c r="F35" s="7" t="s">
        <v>371</v>
      </c>
      <c r="G35" s="7" t="s">
        <v>372</v>
      </c>
      <c r="H35" t="s">
        <v>291</v>
      </c>
      <c r="I35" s="10" t="s">
        <v>35</v>
      </c>
      <c r="J35" s="10" t="s">
        <v>292</v>
      </c>
      <c r="K35" s="10" t="s">
        <v>38</v>
      </c>
      <c r="L35" s="10" t="s">
        <v>292</v>
      </c>
      <c r="M35" s="7" t="s">
        <v>373</v>
      </c>
    </row>
    <row r="36" spans="1:13" ht="72" customHeight="1" x14ac:dyDescent="0.35">
      <c r="A36" t="s">
        <v>374</v>
      </c>
      <c r="B36" t="s">
        <v>207</v>
      </c>
      <c r="C36" t="s">
        <v>79</v>
      </c>
      <c r="D36" s="10" t="s">
        <v>44</v>
      </c>
      <c r="E36" s="10" t="s">
        <v>288</v>
      </c>
      <c r="F36" t="s">
        <v>375</v>
      </c>
      <c r="G36" s="7" t="s">
        <v>376</v>
      </c>
      <c r="H36" t="s">
        <v>291</v>
      </c>
      <c r="I36" s="10" t="s">
        <v>35</v>
      </c>
      <c r="J36" s="10" t="s">
        <v>292</v>
      </c>
      <c r="K36" s="10" t="s">
        <v>44</v>
      </c>
      <c r="L36" s="10" t="s">
        <v>292</v>
      </c>
      <c r="M36" s="7" t="s">
        <v>377</v>
      </c>
    </row>
    <row r="37" spans="1:13" ht="72" customHeight="1" x14ac:dyDescent="0.35">
      <c r="A37" t="s">
        <v>378</v>
      </c>
      <c r="B37" t="s">
        <v>207</v>
      </c>
      <c r="C37" t="s">
        <v>84</v>
      </c>
      <c r="D37" s="10" t="s">
        <v>44</v>
      </c>
      <c r="E37" s="10" t="s">
        <v>288</v>
      </c>
      <c r="F37" s="7" t="s">
        <v>379</v>
      </c>
      <c r="G37" s="7" t="s">
        <v>380</v>
      </c>
      <c r="H37" t="s">
        <v>291</v>
      </c>
      <c r="I37" s="10" t="s">
        <v>35</v>
      </c>
      <c r="J37" s="10" t="s">
        <v>292</v>
      </c>
      <c r="K37" s="10" t="s">
        <v>44</v>
      </c>
      <c r="L37" s="10" t="s">
        <v>292</v>
      </c>
      <c r="M37" s="7" t="s">
        <v>381</v>
      </c>
    </row>
    <row r="38" spans="1:13" ht="43.5" customHeight="1" x14ac:dyDescent="0.35">
      <c r="A38" t="s">
        <v>382</v>
      </c>
      <c r="B38" t="s">
        <v>207</v>
      </c>
      <c r="C38" t="s">
        <v>89</v>
      </c>
      <c r="D38" s="10" t="s">
        <v>31</v>
      </c>
      <c r="E38" s="10" t="s">
        <v>288</v>
      </c>
      <c r="F38" s="7" t="s">
        <v>383</v>
      </c>
      <c r="G38" s="7" t="s">
        <v>384</v>
      </c>
      <c r="H38" t="s">
        <v>291</v>
      </c>
      <c r="I38" s="10" t="s">
        <v>35</v>
      </c>
      <c r="J38" s="10" t="s">
        <v>292</v>
      </c>
      <c r="K38" s="10" t="s">
        <v>31</v>
      </c>
      <c r="L38" s="10" t="s">
        <v>292</v>
      </c>
      <c r="M38" s="7" t="s">
        <v>385</v>
      </c>
    </row>
    <row r="39" spans="1:13" ht="43.5" customHeight="1" x14ac:dyDescent="0.35">
      <c r="A39" t="s">
        <v>386</v>
      </c>
      <c r="B39" t="s">
        <v>207</v>
      </c>
      <c r="C39" t="s">
        <v>311</v>
      </c>
      <c r="D39" s="10" t="s">
        <v>31</v>
      </c>
      <c r="E39" s="10" t="s">
        <v>288</v>
      </c>
      <c r="F39" t="s">
        <v>387</v>
      </c>
      <c r="G39" t="s">
        <v>388</v>
      </c>
      <c r="H39" t="s">
        <v>291</v>
      </c>
      <c r="I39" s="10" t="s">
        <v>35</v>
      </c>
      <c r="J39" s="10" t="s">
        <v>292</v>
      </c>
      <c r="K39" s="10" t="s">
        <v>31</v>
      </c>
      <c r="L39" s="10" t="s">
        <v>292</v>
      </c>
      <c r="M39" s="7" t="s">
        <v>389</v>
      </c>
    </row>
    <row r="40" spans="1:13" ht="101.25" customHeight="1" x14ac:dyDescent="0.35">
      <c r="A40" t="s">
        <v>390</v>
      </c>
      <c r="B40" t="s">
        <v>207</v>
      </c>
      <c r="C40" t="s">
        <v>99</v>
      </c>
      <c r="D40" s="10" t="s">
        <v>31</v>
      </c>
      <c r="E40" s="10" t="s">
        <v>288</v>
      </c>
      <c r="F40" s="7" t="s">
        <v>391</v>
      </c>
      <c r="G40" s="7" t="s">
        <v>392</v>
      </c>
      <c r="H40" t="s">
        <v>291</v>
      </c>
      <c r="I40" s="10" t="s">
        <v>41</v>
      </c>
      <c r="J40" s="10" t="s">
        <v>292</v>
      </c>
      <c r="K40" s="10" t="s">
        <v>31</v>
      </c>
      <c r="L40" s="10" t="s">
        <v>292</v>
      </c>
      <c r="M40" s="7" t="s">
        <v>393</v>
      </c>
    </row>
    <row r="41" spans="1:13" ht="174.75" customHeight="1" x14ac:dyDescent="0.35">
      <c r="A41" s="13" t="s">
        <v>394</v>
      </c>
      <c r="B41" s="13" t="s">
        <v>229</v>
      </c>
      <c r="C41" s="13" t="s">
        <v>70</v>
      </c>
      <c r="D41" s="14" t="s">
        <v>38</v>
      </c>
      <c r="E41" s="14" t="s">
        <v>288</v>
      </c>
      <c r="F41" s="15" t="s">
        <v>395</v>
      </c>
      <c r="G41" s="15" t="s">
        <v>396</v>
      </c>
      <c r="H41" s="13" t="s">
        <v>397</v>
      </c>
      <c r="I41" s="14" t="s">
        <v>48</v>
      </c>
      <c r="J41" s="14" t="s">
        <v>288</v>
      </c>
      <c r="K41" s="14" t="s">
        <v>44</v>
      </c>
      <c r="L41" s="14" t="s">
        <v>288</v>
      </c>
      <c r="M41" s="15" t="s">
        <v>398</v>
      </c>
    </row>
    <row r="42" spans="1:13" ht="87" customHeight="1" x14ac:dyDescent="0.35">
      <c r="A42" t="s">
        <v>399</v>
      </c>
      <c r="B42" t="s">
        <v>229</v>
      </c>
      <c r="C42" t="s">
        <v>295</v>
      </c>
      <c r="D42" s="10" t="s">
        <v>31</v>
      </c>
      <c r="E42" s="10" t="s">
        <v>288</v>
      </c>
      <c r="F42" t="s">
        <v>400</v>
      </c>
      <c r="G42" s="7" t="s">
        <v>401</v>
      </c>
      <c r="H42" t="s">
        <v>397</v>
      </c>
      <c r="I42" s="10" t="s">
        <v>35</v>
      </c>
      <c r="J42" s="10" t="s">
        <v>292</v>
      </c>
      <c r="K42" s="10" t="s">
        <v>31</v>
      </c>
      <c r="L42" s="10" t="s">
        <v>292</v>
      </c>
      <c r="M42" s="7" t="s">
        <v>402</v>
      </c>
    </row>
    <row r="43" spans="1:13" ht="87" customHeight="1" x14ac:dyDescent="0.35">
      <c r="A43" t="s">
        <v>403</v>
      </c>
      <c r="B43" t="s">
        <v>229</v>
      </c>
      <c r="C43" t="s">
        <v>79</v>
      </c>
      <c r="D43" s="10" t="s">
        <v>51</v>
      </c>
      <c r="E43" s="10" t="s">
        <v>288</v>
      </c>
      <c r="F43" s="7" t="s">
        <v>404</v>
      </c>
      <c r="G43" s="7" t="s">
        <v>405</v>
      </c>
      <c r="H43" t="s">
        <v>397</v>
      </c>
      <c r="I43" s="10" t="s">
        <v>41</v>
      </c>
      <c r="J43" s="10" t="s">
        <v>292</v>
      </c>
      <c r="K43" s="10" t="s">
        <v>51</v>
      </c>
      <c r="L43" s="10" t="s">
        <v>292</v>
      </c>
      <c r="M43" s="7" t="s">
        <v>406</v>
      </c>
    </row>
    <row r="44" spans="1:13" ht="72" customHeight="1" x14ac:dyDescent="0.35">
      <c r="A44" t="s">
        <v>407</v>
      </c>
      <c r="B44" t="s">
        <v>229</v>
      </c>
      <c r="C44" t="s">
        <v>84</v>
      </c>
      <c r="D44" s="10" t="s">
        <v>51</v>
      </c>
      <c r="E44" s="10" t="s">
        <v>288</v>
      </c>
      <c r="F44" s="7" t="s">
        <v>408</v>
      </c>
      <c r="G44" s="7" t="s">
        <v>409</v>
      </c>
      <c r="H44" t="s">
        <v>397</v>
      </c>
      <c r="I44" s="10" t="s">
        <v>35</v>
      </c>
      <c r="J44" s="10" t="s">
        <v>292</v>
      </c>
      <c r="K44" s="10" t="s">
        <v>51</v>
      </c>
      <c r="L44" s="10" t="s">
        <v>292</v>
      </c>
      <c r="M44" s="7" t="s">
        <v>410</v>
      </c>
    </row>
    <row r="45" spans="1:13" ht="101.25" customHeight="1" x14ac:dyDescent="0.35">
      <c r="A45" t="s">
        <v>411</v>
      </c>
      <c r="B45" t="s">
        <v>229</v>
      </c>
      <c r="C45" t="s">
        <v>89</v>
      </c>
      <c r="D45" s="10" t="s">
        <v>38</v>
      </c>
      <c r="E45" s="10" t="s">
        <v>288</v>
      </c>
      <c r="F45" t="s">
        <v>412</v>
      </c>
      <c r="G45" s="7" t="s">
        <v>413</v>
      </c>
      <c r="H45" t="s">
        <v>397</v>
      </c>
      <c r="I45" s="10" t="s">
        <v>41</v>
      </c>
      <c r="J45" s="10" t="s">
        <v>292</v>
      </c>
      <c r="K45" s="10" t="s">
        <v>38</v>
      </c>
      <c r="L45" s="10" t="s">
        <v>292</v>
      </c>
      <c r="M45" s="7" t="s">
        <v>414</v>
      </c>
    </row>
    <row r="46" spans="1:13" ht="57.75" customHeight="1" x14ac:dyDescent="0.35">
      <c r="A46" t="s">
        <v>415</v>
      </c>
      <c r="B46" t="s">
        <v>229</v>
      </c>
      <c r="C46" t="s">
        <v>311</v>
      </c>
      <c r="D46" s="10" t="s">
        <v>58</v>
      </c>
      <c r="E46" s="10" t="s">
        <v>288</v>
      </c>
      <c r="F46" s="7" t="s">
        <v>416</v>
      </c>
      <c r="G46" s="7" t="s">
        <v>417</v>
      </c>
      <c r="H46" t="s">
        <v>397</v>
      </c>
      <c r="I46" s="10" t="s">
        <v>35</v>
      </c>
      <c r="J46" s="10" t="s">
        <v>292</v>
      </c>
      <c r="K46" s="10" t="s">
        <v>58</v>
      </c>
      <c r="L46" s="10" t="s">
        <v>292</v>
      </c>
      <c r="M46" s="7" t="s">
        <v>418</v>
      </c>
    </row>
    <row r="47" spans="1:13" ht="57.75" customHeight="1" x14ac:dyDescent="0.35">
      <c r="A47" t="s">
        <v>419</v>
      </c>
      <c r="B47" t="s">
        <v>229</v>
      </c>
      <c r="C47" t="s">
        <v>99</v>
      </c>
      <c r="D47" s="10" t="s">
        <v>31</v>
      </c>
      <c r="E47" s="10" t="s">
        <v>288</v>
      </c>
      <c r="F47" t="s">
        <v>420</v>
      </c>
      <c r="G47" s="7" t="s">
        <v>421</v>
      </c>
      <c r="H47" t="s">
        <v>397</v>
      </c>
      <c r="I47" s="10" t="s">
        <v>35</v>
      </c>
      <c r="J47" s="10" t="s">
        <v>292</v>
      </c>
      <c r="K47" s="10" t="s">
        <v>31</v>
      </c>
      <c r="L47" s="10" t="s">
        <v>292</v>
      </c>
      <c r="M47" s="7" t="s">
        <v>422</v>
      </c>
    </row>
  </sheetData>
  <autoFilter ref="A5:M47" xr:uid="{00000000-0009-0000-0000-000004000000}"/>
  <mergeCells count="2">
    <mergeCell ref="A1:M2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zoomScaleNormal="100" workbookViewId="0">
      <selection sqref="A1:I2"/>
    </sheetView>
  </sheetViews>
  <sheetFormatPr defaultColWidth="8.6328125" defaultRowHeight="14.5" x14ac:dyDescent="0.35"/>
  <cols>
    <col min="1" max="1" width="22" customWidth="1"/>
    <col min="2" max="2" width="20" customWidth="1"/>
    <col min="3" max="3" width="12" customWidth="1"/>
    <col min="4" max="8" width="7" customWidth="1"/>
    <col min="9" max="9" width="10" customWidth="1"/>
  </cols>
  <sheetData>
    <row r="1" spans="1:9" x14ac:dyDescent="0.35">
      <c r="A1" s="6" t="s">
        <v>423</v>
      </c>
      <c r="B1" s="6"/>
      <c r="C1" s="6"/>
      <c r="D1" s="6"/>
      <c r="E1" s="6"/>
      <c r="F1" s="6"/>
      <c r="G1" s="6"/>
      <c r="H1" s="6"/>
      <c r="I1" s="6"/>
    </row>
    <row r="2" spans="1:9" x14ac:dyDescent="0.35">
      <c r="A2" s="6"/>
      <c r="B2" s="6"/>
      <c r="C2" s="6"/>
      <c r="D2" s="6"/>
      <c r="E2" s="6"/>
      <c r="F2" s="6"/>
      <c r="G2" s="6"/>
      <c r="H2" s="6"/>
      <c r="I2" s="6"/>
    </row>
    <row r="3" spans="1:9" ht="27.75" customHeight="1" x14ac:dyDescent="0.35">
      <c r="A3" s="4" t="s">
        <v>424</v>
      </c>
      <c r="B3" s="4"/>
      <c r="C3" s="4"/>
      <c r="D3" s="4"/>
      <c r="E3" s="4"/>
      <c r="F3" s="4"/>
      <c r="G3" s="4"/>
      <c r="H3" s="4"/>
      <c r="I3" s="4"/>
    </row>
    <row r="5" spans="1:9" ht="28.5" customHeight="1" x14ac:dyDescent="0.35">
      <c r="A5" s="8" t="s">
        <v>105</v>
      </c>
      <c r="B5" s="8" t="s">
        <v>425</v>
      </c>
      <c r="C5" s="8" t="s">
        <v>426</v>
      </c>
      <c r="D5" s="8" t="s">
        <v>35</v>
      </c>
      <c r="E5" s="8" t="s">
        <v>41</v>
      </c>
      <c r="F5" s="8" t="s">
        <v>48</v>
      </c>
      <c r="G5" s="8" t="s">
        <v>55</v>
      </c>
      <c r="H5" s="8" t="s">
        <v>61</v>
      </c>
      <c r="I5" s="8" t="s">
        <v>427</v>
      </c>
    </row>
    <row r="6" spans="1:9" x14ac:dyDescent="0.35">
      <c r="A6" t="s">
        <v>114</v>
      </c>
      <c r="B6" t="s">
        <v>428</v>
      </c>
      <c r="C6" s="7">
        <f>COUNTIFS('SCF Detail'!$B$6:$B$47,$A6,'SCF Detail'!$I$6:$I$47,"&lt;&gt;V0")</f>
        <v>7</v>
      </c>
      <c r="D6" s="7">
        <f>COUNTIFS('SCF Detail'!$B$6:$B$47,$A6,'SCF Detail'!$I$6:$I$47,"V1")</f>
        <v>6</v>
      </c>
      <c r="E6" s="7">
        <f>COUNTIFS('SCF Detail'!$B$6:$B$47,$A6,'SCF Detail'!$I$6:$I$47,"V2")</f>
        <v>1</v>
      </c>
      <c r="F6" s="7">
        <f>COUNTIFS('SCF Detail'!$B$6:$B$47,$A6,'SCF Detail'!$I$6:$I$47,"V3")</f>
        <v>0</v>
      </c>
      <c r="G6" s="7">
        <f>COUNTIFS('SCF Detail'!$B$6:$B$47,$A6,'SCF Detail'!$I$6:$I$47,"V4")</f>
        <v>0</v>
      </c>
      <c r="H6" s="7">
        <f>COUNTIFS('SCF Detail'!$B$6:$B$47,$A6,'SCF Detail'!$I$6:$I$47,"V0")</f>
        <v>0</v>
      </c>
      <c r="I6" s="7">
        <f>COUNTIFS('SCF Detail'!$B$6:$B$47,$A6,'SCF Detail'!$L$6:$L$47,"Y")</f>
        <v>0</v>
      </c>
    </row>
    <row r="7" spans="1:9" x14ac:dyDescent="0.35">
      <c r="A7" t="s">
        <v>137</v>
      </c>
      <c r="B7" t="s">
        <v>175</v>
      </c>
      <c r="C7" s="7">
        <f>COUNTIFS('SCF Detail'!$B$6:$B$47,$A7,'SCF Detail'!$I$6:$I$47,"&lt;&gt;V0")</f>
        <v>0</v>
      </c>
      <c r="D7" s="7">
        <f>COUNTIFS('SCF Detail'!$B$6:$B$47,$A7,'SCF Detail'!$I$6:$I$47,"V1")</f>
        <v>0</v>
      </c>
      <c r="E7" s="7">
        <f>COUNTIFS('SCF Detail'!$B$6:$B$47,$A7,'SCF Detail'!$I$6:$I$47,"V2")</f>
        <v>0</v>
      </c>
      <c r="F7" s="7">
        <f>COUNTIFS('SCF Detail'!$B$6:$B$47,$A7,'SCF Detail'!$I$6:$I$47,"V3")</f>
        <v>0</v>
      </c>
      <c r="G7" s="7">
        <f>COUNTIFS('SCF Detail'!$B$6:$B$47,$A7,'SCF Detail'!$I$6:$I$47,"V4")</f>
        <v>0</v>
      </c>
      <c r="H7" s="7">
        <f>COUNTIFS('SCF Detail'!$B$6:$B$47,$A7,'SCF Detail'!$I$6:$I$47,"V0")</f>
        <v>7</v>
      </c>
      <c r="I7" s="7">
        <f>COUNTIFS('SCF Detail'!$B$6:$B$47,$A7,'SCF Detail'!$L$6:$L$47,"Y")</f>
        <v>0</v>
      </c>
    </row>
    <row r="8" spans="1:9" x14ac:dyDescent="0.35">
      <c r="A8" t="s">
        <v>160</v>
      </c>
      <c r="B8" t="s">
        <v>429</v>
      </c>
      <c r="C8" s="7">
        <f>COUNTIFS('SCF Detail'!$B$6:$B$47,$A8,'SCF Detail'!$I$6:$I$47,"&lt;&gt;V0")</f>
        <v>0</v>
      </c>
      <c r="D8" s="7">
        <f>COUNTIFS('SCF Detail'!$B$6:$B$47,$A8,'SCF Detail'!$I$6:$I$47,"V1")</f>
        <v>0</v>
      </c>
      <c r="E8" s="7">
        <f>COUNTIFS('SCF Detail'!$B$6:$B$47,$A8,'SCF Detail'!$I$6:$I$47,"V2")</f>
        <v>0</v>
      </c>
      <c r="F8" s="7">
        <f>COUNTIFS('SCF Detail'!$B$6:$B$47,$A8,'SCF Detail'!$I$6:$I$47,"V3")</f>
        <v>0</v>
      </c>
      <c r="G8" s="7">
        <f>COUNTIFS('SCF Detail'!$B$6:$B$47,$A8,'SCF Detail'!$I$6:$I$47,"V4")</f>
        <v>0</v>
      </c>
      <c r="H8" s="7">
        <f>COUNTIFS('SCF Detail'!$B$6:$B$47,$A8,'SCF Detail'!$I$6:$I$47,"V0")</f>
        <v>7</v>
      </c>
      <c r="I8" s="7">
        <f>COUNTIFS('SCF Detail'!$B$6:$B$47,$A8,'SCF Detail'!$L$6:$L$47,"Y")</f>
        <v>0</v>
      </c>
    </row>
    <row r="9" spans="1:9" x14ac:dyDescent="0.35">
      <c r="A9" t="s">
        <v>183</v>
      </c>
      <c r="B9" t="s">
        <v>428</v>
      </c>
      <c r="C9" s="7">
        <f>COUNTIFS('SCF Detail'!$B$6:$B$47,$A9,'SCF Detail'!$I$6:$I$47,"&lt;&gt;V0")</f>
        <v>7</v>
      </c>
      <c r="D9" s="7">
        <f>COUNTIFS('SCF Detail'!$B$6:$B$47,$A9,'SCF Detail'!$I$6:$I$47,"V1")</f>
        <v>5</v>
      </c>
      <c r="E9" s="7">
        <f>COUNTIFS('SCF Detail'!$B$6:$B$47,$A9,'SCF Detail'!$I$6:$I$47,"V2")</f>
        <v>2</v>
      </c>
      <c r="F9" s="7">
        <f>COUNTIFS('SCF Detail'!$B$6:$B$47,$A9,'SCF Detail'!$I$6:$I$47,"V3")</f>
        <v>0</v>
      </c>
      <c r="G9" s="7">
        <f>COUNTIFS('SCF Detail'!$B$6:$B$47,$A9,'SCF Detail'!$I$6:$I$47,"V4")</f>
        <v>0</v>
      </c>
      <c r="H9" s="7">
        <f>COUNTIFS('SCF Detail'!$B$6:$B$47,$A9,'SCF Detail'!$I$6:$I$47,"V0")</f>
        <v>0</v>
      </c>
      <c r="I9" s="7">
        <f>COUNTIFS('SCF Detail'!$B$6:$B$47,$A9,'SCF Detail'!$L$6:$L$47,"Y")</f>
        <v>0</v>
      </c>
    </row>
    <row r="10" spans="1:9" x14ac:dyDescent="0.35">
      <c r="A10" t="s">
        <v>207</v>
      </c>
      <c r="B10" t="s">
        <v>428</v>
      </c>
      <c r="C10" s="7">
        <f>COUNTIFS('SCF Detail'!$B$6:$B$47,$A10,'SCF Detail'!$I$6:$I$47,"&lt;&gt;V0")</f>
        <v>7</v>
      </c>
      <c r="D10" s="7">
        <f>COUNTIFS('SCF Detail'!$B$6:$B$47,$A10,'SCF Detail'!$I$6:$I$47,"V1")</f>
        <v>6</v>
      </c>
      <c r="E10" s="7">
        <f>COUNTIFS('SCF Detail'!$B$6:$B$47,$A10,'SCF Detail'!$I$6:$I$47,"V2")</f>
        <v>1</v>
      </c>
      <c r="F10" s="7">
        <f>COUNTIFS('SCF Detail'!$B$6:$B$47,$A10,'SCF Detail'!$I$6:$I$47,"V3")</f>
        <v>0</v>
      </c>
      <c r="G10" s="7">
        <f>COUNTIFS('SCF Detail'!$B$6:$B$47,$A10,'SCF Detail'!$I$6:$I$47,"V4")</f>
        <v>0</v>
      </c>
      <c r="H10" s="7">
        <f>COUNTIFS('SCF Detail'!$B$6:$B$47,$A10,'SCF Detail'!$I$6:$I$47,"V0")</f>
        <v>0</v>
      </c>
      <c r="I10" s="7">
        <f>COUNTIFS('SCF Detail'!$B$6:$B$47,$A10,'SCF Detail'!$L$6:$L$47,"Y")</f>
        <v>0</v>
      </c>
    </row>
    <row r="11" spans="1:9" x14ac:dyDescent="0.35">
      <c r="A11" t="s">
        <v>229</v>
      </c>
      <c r="B11" t="s">
        <v>430</v>
      </c>
      <c r="C11" s="7">
        <f>COUNTIFS('SCF Detail'!$B$6:$B$47,$A11,'SCF Detail'!$I$6:$I$47,"&lt;&gt;V0")</f>
        <v>7</v>
      </c>
      <c r="D11" s="7">
        <f>COUNTIFS('SCF Detail'!$B$6:$B$47,$A11,'SCF Detail'!$I$6:$I$47,"V1")</f>
        <v>4</v>
      </c>
      <c r="E11" s="7">
        <f>COUNTIFS('SCF Detail'!$B$6:$B$47,$A11,'SCF Detail'!$I$6:$I$47,"V2")</f>
        <v>2</v>
      </c>
      <c r="F11" s="7">
        <f>COUNTIFS('SCF Detail'!$B$6:$B$47,$A11,'SCF Detail'!$I$6:$I$47,"V3")</f>
        <v>1</v>
      </c>
      <c r="G11" s="7">
        <f>COUNTIFS('SCF Detail'!$B$6:$B$47,$A11,'SCF Detail'!$I$6:$I$47,"V4")</f>
        <v>0</v>
      </c>
      <c r="H11" s="7">
        <f>COUNTIFS('SCF Detail'!$B$6:$B$47,$A11,'SCF Detail'!$I$6:$I$47,"V0")</f>
        <v>0</v>
      </c>
      <c r="I11" s="7">
        <f>COUNTIFS('SCF Detail'!$B$6:$B$47,$A11,'SCF Detail'!$L$6:$L$47,"Y")</f>
        <v>1</v>
      </c>
    </row>
    <row r="13" spans="1:9" x14ac:dyDescent="0.35">
      <c r="A13" t="s">
        <v>431</v>
      </c>
      <c r="C13">
        <f t="shared" ref="C13:I13" si="0">SUM(C6:C11)</f>
        <v>28</v>
      </c>
      <c r="D13">
        <f t="shared" si="0"/>
        <v>21</v>
      </c>
      <c r="E13">
        <f t="shared" si="0"/>
        <v>6</v>
      </c>
      <c r="F13">
        <f t="shared" si="0"/>
        <v>1</v>
      </c>
      <c r="G13">
        <f t="shared" si="0"/>
        <v>0</v>
      </c>
      <c r="H13">
        <f t="shared" si="0"/>
        <v>14</v>
      </c>
      <c r="I13">
        <f t="shared" si="0"/>
        <v>1</v>
      </c>
    </row>
    <row r="16" spans="1:9" x14ac:dyDescent="0.35">
      <c r="A16" s="2" t="s">
        <v>432</v>
      </c>
      <c r="B16" s="2"/>
      <c r="C16" s="2" t="s">
        <v>36</v>
      </c>
      <c r="D16" s="2"/>
      <c r="E16" s="2" t="s">
        <v>42</v>
      </c>
      <c r="F16" s="2"/>
      <c r="H16" s="2" t="s">
        <v>49</v>
      </c>
      <c r="I16" s="2"/>
    </row>
    <row r="17" spans="1:9" x14ac:dyDescent="0.35">
      <c r="A17" s="2">
        <f>C13</f>
        <v>28</v>
      </c>
      <c r="B17" s="2"/>
      <c r="C17" s="1">
        <f>D13/C13</f>
        <v>0.75</v>
      </c>
      <c r="D17" s="1"/>
      <c r="E17" s="1">
        <f>E13/C13</f>
        <v>0.21428571428571427</v>
      </c>
      <c r="F17" s="1"/>
      <c r="H17" s="1">
        <f>F13/C13</f>
        <v>3.5714285714285712E-2</v>
      </c>
      <c r="I17" s="1"/>
    </row>
    <row r="18" spans="1:9" x14ac:dyDescent="0.35">
      <c r="A18" s="2"/>
      <c r="B18" s="2"/>
      <c r="C18" s="1"/>
      <c r="D18" s="1"/>
      <c r="E18" s="1"/>
      <c r="F18" s="1"/>
      <c r="H18" s="1"/>
      <c r="I18" s="1"/>
    </row>
    <row r="21" spans="1:9" ht="15" customHeight="1" x14ac:dyDescent="0.35">
      <c r="A21" s="4" t="s">
        <v>433</v>
      </c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</sheetData>
  <mergeCells count="11">
    <mergeCell ref="A17:B18"/>
    <mergeCell ref="C17:D18"/>
    <mergeCell ref="E17:F18"/>
    <mergeCell ref="H17:I18"/>
    <mergeCell ref="A21:I24"/>
    <mergeCell ref="A1:I2"/>
    <mergeCell ref="A3:I3"/>
    <mergeCell ref="A16:B16"/>
    <mergeCell ref="C16:D16"/>
    <mergeCell ref="E16:F16"/>
    <mergeCell ref="H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zoomScaleNormal="100" workbookViewId="0">
      <selection sqref="A1:D2"/>
    </sheetView>
  </sheetViews>
  <sheetFormatPr defaultColWidth="8.6328125" defaultRowHeight="14.5" x14ac:dyDescent="0.35"/>
  <cols>
    <col min="1" max="1" width="22" customWidth="1"/>
    <col min="2" max="2" width="44" customWidth="1"/>
    <col min="3" max="3" width="26" customWidth="1"/>
    <col min="4" max="4" width="60" customWidth="1"/>
  </cols>
  <sheetData>
    <row r="1" spans="1:4" x14ac:dyDescent="0.35">
      <c r="A1" s="6" t="s">
        <v>434</v>
      </c>
      <c r="B1" s="6"/>
      <c r="C1" s="6"/>
      <c r="D1" s="6"/>
    </row>
    <row r="2" spans="1:4" x14ac:dyDescent="0.35">
      <c r="A2" s="6"/>
      <c r="B2" s="6"/>
      <c r="C2" s="6"/>
      <c r="D2" s="6"/>
    </row>
    <row r="3" spans="1:4" ht="15" customHeight="1" x14ac:dyDescent="0.35">
      <c r="A3" s="4" t="s">
        <v>435</v>
      </c>
      <c r="B3" s="4"/>
      <c r="C3" s="4"/>
      <c r="D3" s="4"/>
    </row>
    <row r="5" spans="1:4" x14ac:dyDescent="0.35">
      <c r="A5" s="8" t="s">
        <v>436</v>
      </c>
      <c r="B5" s="8" t="s">
        <v>437</v>
      </c>
      <c r="C5" s="8" t="s">
        <v>438</v>
      </c>
      <c r="D5" s="8" t="s">
        <v>113</v>
      </c>
    </row>
    <row r="6" spans="1:4" ht="28.5" customHeight="1" x14ac:dyDescent="0.35">
      <c r="A6" t="s">
        <v>114</v>
      </c>
      <c r="B6" s="7" t="s">
        <v>119</v>
      </c>
      <c r="C6" t="s">
        <v>439</v>
      </c>
      <c r="D6" s="11" t="s">
        <v>120</v>
      </c>
    </row>
    <row r="7" spans="1:4" x14ac:dyDescent="0.35">
      <c r="A7" t="s">
        <v>137</v>
      </c>
      <c r="B7" s="7" t="s">
        <v>141</v>
      </c>
      <c r="C7" t="s">
        <v>439</v>
      </c>
      <c r="D7" s="12" t="s">
        <v>142</v>
      </c>
    </row>
    <row r="8" spans="1:4" x14ac:dyDescent="0.35">
      <c r="A8" t="s">
        <v>160</v>
      </c>
      <c r="B8" s="7" t="s">
        <v>164</v>
      </c>
      <c r="C8" t="s">
        <v>439</v>
      </c>
      <c r="D8" s="11" t="s">
        <v>165</v>
      </c>
    </row>
    <row r="9" spans="1:4" ht="28.5" customHeight="1" x14ac:dyDescent="0.35">
      <c r="A9" t="s">
        <v>183</v>
      </c>
      <c r="B9" s="7" t="s">
        <v>187</v>
      </c>
      <c r="C9" t="s">
        <v>439</v>
      </c>
      <c r="D9" s="12" t="s">
        <v>188</v>
      </c>
    </row>
    <row r="10" spans="1:4" x14ac:dyDescent="0.35">
      <c r="A10" t="s">
        <v>207</v>
      </c>
      <c r="B10" s="7" t="s">
        <v>211</v>
      </c>
      <c r="C10" t="s">
        <v>439</v>
      </c>
      <c r="D10" s="12" t="s">
        <v>212</v>
      </c>
    </row>
    <row r="11" spans="1:4" ht="42" customHeight="1" x14ac:dyDescent="0.35">
      <c r="A11" t="s">
        <v>229</v>
      </c>
      <c r="B11" s="7" t="s">
        <v>233</v>
      </c>
      <c r="C11" t="s">
        <v>439</v>
      </c>
      <c r="D11" s="11" t="s">
        <v>234</v>
      </c>
    </row>
    <row r="12" spans="1:4" ht="28.5" customHeight="1" x14ac:dyDescent="0.35">
      <c r="A12" t="s">
        <v>440</v>
      </c>
      <c r="B12" s="7" t="s">
        <v>441</v>
      </c>
      <c r="C12" t="s">
        <v>442</v>
      </c>
      <c r="D12" s="12" t="s">
        <v>443</v>
      </c>
    </row>
  </sheetData>
  <mergeCells count="2">
    <mergeCell ref="A1:D2"/>
    <mergeCell ref="A3:D3"/>
  </mergeCells>
  <hyperlinks>
    <hyperlink ref="D6" r:id="rId1" xr:uid="{00000000-0004-0000-0700-000000000000}"/>
    <hyperlink ref="D7" r:id="rId2" xr:uid="{00000000-0004-0000-0700-000001000000}"/>
    <hyperlink ref="D8" r:id="rId3" xr:uid="{00000000-0004-0000-0700-000002000000}"/>
    <hyperlink ref="D9" r:id="rId4" xr:uid="{00000000-0004-0000-0700-000003000000}"/>
    <hyperlink ref="D10" r:id="rId5" xr:uid="{00000000-0004-0000-0700-000004000000}"/>
    <hyperlink ref="D11" r:id="rId6" xr:uid="{00000000-0004-0000-0700-000005000000}"/>
    <hyperlink ref="D12" r:id="rId7" xr:uid="{00000000-0004-0000-0700-000006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Full Register</vt:lpstr>
      <vt:lpstr>Matrix</vt:lpstr>
      <vt:lpstr>Coverage</vt:lpstr>
      <vt:lpstr>SCF Detail</vt:lpstr>
      <vt:lpstr>SCF Benchmark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RQ2 Framework Integration Mapping Register v3.2 (public edition)</dc:title>
  <dc:subject>Framework Integration Model mapping register and SCF external documentary benchmark</dc:subject>
  <dc:creator>Muntathar Abid</dc:creator>
  <dc:description/>
  <cp:lastModifiedBy>Montii Abid</cp:lastModifiedBy>
  <cp:revision>0</cp:revision>
  <dcterms:created xsi:type="dcterms:W3CDTF">2026-09-03T09:38:23Z</dcterms:created>
  <dcterms:modified xsi:type="dcterms:W3CDTF">2026-09-08T09:33:58Z</dcterms:modified>
  <dc:language>en-US</dc:language>
</cp:coreProperties>
</file>